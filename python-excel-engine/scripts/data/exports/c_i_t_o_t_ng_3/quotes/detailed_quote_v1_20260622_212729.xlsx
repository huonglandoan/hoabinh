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Gia_Chi_Ti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9C6500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/>
      <top/>
      <bottom/>
      <diagonal/>
    </border>
    <border>
      <left style="thin">
        <color rgb="00D3D3D3"/>
      </left>
      <right style="thin">
        <color rgb="00D3D3D3"/>
      </right>
      <top/>
      <bottom/>
      <diagonal/>
    </border>
    <border>
      <left style="thin">
        <color rgb="00D3D3D3"/>
      </left>
      <right style="thin">
        <color rgb="00D3D3D3"/>
      </right>
      <top/>
      <bottom style="thin">
        <color rgb="00D3D3D3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5" customWidth="1" min="3" max="3"/>
    <col width="8" customWidth="1" min="4" max="4"/>
    <col width="12" customWidth="1" min="5" max="5"/>
    <col width="16" customWidth="1" min="6" max="6"/>
    <col width="18" customWidth="1" min="7" max="7"/>
    <col width="15" customWidth="1" min="8" max="8"/>
    <col width="15" customWidth="1" min="9" max="9"/>
    <col width="12" customWidth="1" min="10" max="10"/>
    <col width="12" customWidth="1" min="11" max="11"/>
    <col width="15" customWidth="1" min="12" max="12"/>
  </cols>
  <sheetData>
    <row r="1">
      <c r="A1" s="1" t="inlineStr">
        <is>
          <t>BẢNG BÁO GIÁ CHI TIẾT CÔNG TRÌNH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Địa điểm:</t>
        </is>
      </c>
      <c r="B4" s="3" t="inlineStr">
        <is>
          <t>Tầng 3 Tòa nhà DPM, Cà Mau</t>
        </is>
      </c>
    </row>
    <row r="5">
      <c r="A5" s="2" t="inlineStr">
        <is>
          <t>Thời gian:</t>
        </is>
      </c>
      <c r="B5" s="3" t="inlineStr">
        <is>
          <t>2026-03-01 đến 2026-04-30</t>
        </is>
      </c>
    </row>
    <row r="6">
      <c r="A6" s="2" t="inlineStr">
        <is>
          <t>Phiên bản:</t>
        </is>
      </c>
      <c r="B6" s="3" t="inlineStr">
        <is>
          <t>v1 (Cập nhật lúc: 2026-06-22 21:27:29)</t>
        </is>
      </c>
    </row>
    <row r="7"/>
    <row r="8">
      <c r="A8" s="4" t="inlineStr">
        <is>
          <t>STT</t>
        </is>
      </c>
      <c r="B8" s="4" t="inlineStr">
        <is>
          <t>Mã hạng mục</t>
        </is>
      </c>
      <c r="C8" s="4" t="inlineStr">
        <is>
          <t>Hạng mục công việc</t>
        </is>
      </c>
      <c r="D8" s="4" t="inlineStr">
        <is>
          <t>ĐVT</t>
        </is>
      </c>
      <c r="E8" s="4" t="inlineStr">
        <is>
          <t>Số lượng</t>
        </is>
      </c>
      <c r="F8" s="4" t="inlineStr">
        <is>
          <t>Đơn giá (VNĐ)</t>
        </is>
      </c>
      <c r="G8" s="4" t="inlineStr">
        <is>
          <t>Thành tiền (VNĐ)</t>
        </is>
      </c>
      <c r="H8" s="4" t="inlineStr">
        <is>
          <t>Trạng thái</t>
        </is>
      </c>
      <c r="I8" s="4" t="inlineStr">
        <is>
          <t>Mã PO</t>
        </is>
      </c>
      <c r="J8" s="4" t="inlineStr">
        <is>
          <t>Ngày PO</t>
        </is>
      </c>
      <c r="K8" s="4" t="inlineStr">
        <is>
          <t>SL đã giao</t>
        </is>
      </c>
      <c r="L8" s="4" t="inlineStr">
        <is>
          <t>Ghi chú</t>
        </is>
      </c>
    </row>
    <row r="9">
      <c r="A9" s="5" t="n">
        <v>1</v>
      </c>
      <c r="B9" s="5" t="inlineStr">
        <is>
          <t>HM-001</t>
        </is>
      </c>
      <c r="C9" s="6" t="inlineStr">
        <is>
          <t>Sơn lại tường trong nhà (2 lớp lót + 2 lớp phủ)</t>
        </is>
      </c>
      <c r="D9" s="5" t="inlineStr">
        <is>
          <t>m2</t>
        </is>
      </c>
      <c r="E9" s="7" t="n">
        <v>320</v>
      </c>
      <c r="F9" s="8" t="n">
        <v>65000</v>
      </c>
      <c r="G9" s="8">
        <f>E9*F9</f>
        <v/>
      </c>
      <c r="H9" s="9" t="inlineStr">
        <is>
          <t>Chờ duyệt</t>
        </is>
      </c>
      <c r="I9" s="10" t="inlineStr">
        <is>
          <t>PO-2026-001</t>
        </is>
      </c>
      <c r="J9" s="11" t="inlineStr">
        <is>
          <t>2026-03-10</t>
        </is>
      </c>
      <c r="K9" s="12" t="n">
        <v>200</v>
      </c>
      <c r="L9" s="6">
        <f>IF(K9=0, "", IF(K9&gt;=E9, "Đã giao đủ", "Thiếu " &amp; TEXT(E9-K9, "#,##0")))</f>
        <v/>
      </c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0" t="inlineStr">
        <is>
          <t>PO-2026-002</t>
        </is>
      </c>
      <c r="J10" s="11" t="inlineStr">
        <is>
          <t>2026-03-25</t>
        </is>
      </c>
      <c r="K10" s="12" t="n">
        <v>120</v>
      </c>
      <c r="L10" s="6">
        <f>IF(K10=0, "", IF(K10&gt;=E9, "Đã giao đủ", "Thiếu " &amp; TEXT(E9-K10, "#,##0")))</f>
        <v/>
      </c>
    </row>
    <row r="11">
      <c r="A11" s="14" t="n">
        <v>2</v>
      </c>
      <c r="B11" s="14" t="inlineStr">
        <is>
          <t>HM-002</t>
        </is>
      </c>
      <c r="C11" s="15" t="inlineStr">
        <is>
          <t>Thay trần thạch cao vuông 60x60</t>
        </is>
      </c>
      <c r="D11" s="14" t="inlineStr">
        <is>
          <t>m2</t>
        </is>
      </c>
      <c r="E11" s="16" t="n">
        <v>150</v>
      </c>
      <c r="F11" s="17" t="n">
        <v>280000</v>
      </c>
      <c r="G11" s="17">
        <f>E11*F11</f>
        <v/>
      </c>
      <c r="H11" s="9" t="inlineStr">
        <is>
          <t>Chờ duyệt</t>
        </is>
      </c>
      <c r="I11" s="10" t="inlineStr">
        <is>
          <t>PO-2026-003</t>
        </is>
      </c>
      <c r="J11" s="11" t="inlineStr">
        <is>
          <t>2026-03-12</t>
        </is>
      </c>
      <c r="K11" s="12" t="n">
        <v>150</v>
      </c>
      <c r="L11" s="6">
        <f>IF(K11=0, "", IF(K11&gt;=E11, "Đã giao đủ", "Thiếu " &amp; TEXT(E11-K11, "#,##0")))</f>
        <v/>
      </c>
    </row>
    <row r="12">
      <c r="A12" s="5" t="n">
        <v>3</v>
      </c>
      <c r="B12" s="5" t="inlineStr">
        <is>
          <t>HM-003</t>
        </is>
      </c>
      <c r="C12" s="6" t="inlineStr">
        <is>
          <t>Lát sàn gạch ceramic 60x60</t>
        </is>
      </c>
      <c r="D12" s="5" t="inlineStr">
        <is>
          <t>m2</t>
        </is>
      </c>
      <c r="E12" s="7" t="n">
        <v>85</v>
      </c>
      <c r="F12" s="8" t="n">
        <v>320000</v>
      </c>
      <c r="G12" s="8">
        <f>E12*F12</f>
        <v/>
      </c>
      <c r="H12" s="9" t="inlineStr">
        <is>
          <t>Chờ duyệt</t>
        </is>
      </c>
      <c r="I12" s="10" t="inlineStr">
        <is>
          <t>PO-2026-004</t>
        </is>
      </c>
      <c r="J12" s="11" t="inlineStr">
        <is>
          <t>2026-03-18</t>
        </is>
      </c>
      <c r="K12" s="12" t="n">
        <v>85</v>
      </c>
      <c r="L12" s="6">
        <f>IF(K12=0, "", IF(K12&gt;=E12, "Đã giao đủ", "Thiếu " &amp; TEXT(E12-K12, "#,##0")))</f>
        <v/>
      </c>
    </row>
    <row r="13">
      <c r="A13" s="14" t="n">
        <v>4</v>
      </c>
      <c r="B13" s="14" t="inlineStr">
        <is>
          <t>HM-004</t>
        </is>
      </c>
      <c r="C13" s="15" t="inlineStr">
        <is>
          <t>Thay cửa nhựa lõi thép - cửa đi 90x210</t>
        </is>
      </c>
      <c r="D13" s="14" t="inlineStr">
        <is>
          <t>cái</t>
        </is>
      </c>
      <c r="E13" s="16" t="n">
        <v>4</v>
      </c>
      <c r="F13" s="17" t="n">
        <v>3800000</v>
      </c>
      <c r="G13" s="17">
        <f>E13*F13</f>
        <v/>
      </c>
      <c r="H13" s="9" t="inlineStr">
        <is>
          <t>Chờ duyệt</t>
        </is>
      </c>
      <c r="I13" s="10" t="inlineStr"/>
      <c r="J13" s="11" t="inlineStr"/>
      <c r="K13" s="12" t="n">
        <v>0</v>
      </c>
      <c r="L13" s="6">
        <f>IF(K13=0, "", IF(K13&gt;=E13, "Đã giao đủ", "Thiếu " &amp; TEXT(E13-K13, "#,##0")))</f>
        <v/>
      </c>
    </row>
    <row r="14">
      <c r="A14" s="5" t="n">
        <v>5</v>
      </c>
      <c r="B14" s="5" t="inlineStr">
        <is>
          <t>HM-005</t>
        </is>
      </c>
      <c r="C14" s="6" t="inlineStr">
        <is>
          <t>Thay kính cửa sổ cường lực 8mm</t>
        </is>
      </c>
      <c r="D14" s="5" t="inlineStr">
        <is>
          <t>m2</t>
        </is>
      </c>
      <c r="E14" s="7" t="n">
        <v>18</v>
      </c>
      <c r="F14" s="8" t="n">
        <v>750000</v>
      </c>
      <c r="G14" s="8">
        <f>E14*F14</f>
        <v/>
      </c>
      <c r="H14" s="9" t="inlineStr">
        <is>
          <t>Chờ duyệt</t>
        </is>
      </c>
      <c r="I14" s="10" t="inlineStr"/>
      <c r="J14" s="11" t="inlineStr"/>
      <c r="K14" s="12" t="n">
        <v>0</v>
      </c>
      <c r="L14" s="6">
        <f>IF(K14=0, "", IF(K14&gt;=E14, "Đã giao đủ", "Thiếu " &amp; TEXT(E14-K14, "#,##0")))</f>
        <v/>
      </c>
    </row>
    <row r="15">
      <c r="A15" s="18" t="inlineStr">
        <is>
          <t>TỔNG GIÁ TRỊ HỢP ĐỒNG (VND)</t>
        </is>
      </c>
      <c r="G15" s="19">
        <f>SUM(G9:G14)</f>
        <v/>
      </c>
      <c r="H15" s="18" t="n"/>
      <c r="I15" s="18" t="n"/>
      <c r="J15" s="18" t="n"/>
      <c r="K15" s="18" t="n"/>
      <c r="L15" s="18" t="n"/>
    </row>
  </sheetData>
  <mergeCells count="9">
    <mergeCell ref="C9:C10"/>
    <mergeCell ref="B9:B10"/>
    <mergeCell ref="G9:G10"/>
    <mergeCell ref="D9:D10"/>
    <mergeCell ref="E9:E10"/>
    <mergeCell ref="H9:H10"/>
    <mergeCell ref="F9:F10"/>
    <mergeCell ref="A9:A1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2026-06-22T14:27:29Z</dcterms:created>
  <dcterms:modified xsi:type="dcterms:W3CDTF">2026-06-22T14:27:29Z</dcterms:modified>
</cp:coreProperties>
</file>