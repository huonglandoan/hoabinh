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Khách hàng (Bên A):</t>
        </is>
      </c>
      <c r="B5" s="3" t="inlineStr">
        <is>
          <t>Ban QLDA DPM</t>
        </is>
      </c>
    </row>
    <row r="6">
      <c r="A6" s="2" t="inlineStr">
        <is>
          <t>Đơn vị thi công (Bên B):</t>
        </is>
      </c>
      <c r="B6" s="3" t="inlineStr">
        <is>
          <t>Cty Xây dựng Đông Dương</t>
        </is>
      </c>
    </row>
    <row r="7">
      <c r="A7" s="2" t="inlineStr">
        <is>
          <t>Thời gian:</t>
        </is>
      </c>
      <c r="B7" s="3" t="inlineStr">
        <is>
          <t>2026-03-01 đến 2026-04-30</t>
        </is>
      </c>
    </row>
    <row r="8">
      <c r="A8" s="2" t="inlineStr">
        <is>
          <t>Phiên bản:</t>
        </is>
      </c>
      <c r="B8" s="3" t="inlineStr">
        <is>
          <t>v1 (Cập nhật lúc: 2026-06-22 21:46:22)</t>
        </is>
      </c>
    </row>
    <row r="9"/>
    <row r="10">
      <c r="A10" s="4" t="inlineStr">
        <is>
          <t>STT</t>
        </is>
      </c>
      <c r="B10" s="4" t="inlineStr">
        <is>
          <t>Mã hạng mục</t>
        </is>
      </c>
      <c r="C10" s="4" t="inlineStr">
        <is>
          <t>Hạng mục công việc</t>
        </is>
      </c>
      <c r="D10" s="4" t="inlineStr">
        <is>
          <t>ĐVT</t>
        </is>
      </c>
      <c r="E10" s="4" t="inlineStr">
        <is>
          <t>Số lượng</t>
        </is>
      </c>
      <c r="F10" s="4" t="inlineStr">
        <is>
          <t>Đơn giá (VNĐ)</t>
        </is>
      </c>
      <c r="G10" s="4" t="inlineStr">
        <is>
          <t>Thành tiền (VNĐ)</t>
        </is>
      </c>
      <c r="H10" s="4" t="inlineStr">
        <is>
          <t>Trạng thái</t>
        </is>
      </c>
    </row>
    <row r="11">
      <c r="A11" s="5" t="n">
        <v>1</v>
      </c>
      <c r="B11" s="5" t="inlineStr">
        <is>
          <t>HM-001</t>
        </is>
      </c>
      <c r="C11" s="6" t="inlineStr">
        <is>
          <t>Sơn lại tường trong nhà (2 lớp lót + 2 lớp phủ)</t>
        </is>
      </c>
      <c r="D11" s="5" t="inlineStr">
        <is>
          <t>m2</t>
        </is>
      </c>
      <c r="E11" s="7" t="n">
        <v>320</v>
      </c>
      <c r="F11" s="8" t="n">
        <v>65000</v>
      </c>
      <c r="G11" s="8">
        <f>E11*F11</f>
        <v/>
      </c>
      <c r="H11" s="9" t="inlineStr">
        <is>
          <t>Chờ duyệt</t>
        </is>
      </c>
    </row>
    <row r="12">
      <c r="A12" s="10" t="n">
        <v>2</v>
      </c>
      <c r="B12" s="10" t="inlineStr">
        <is>
          <t>HM-002</t>
        </is>
      </c>
      <c r="C12" s="11" t="inlineStr">
        <is>
          <t>Thay trần thạch cao vuông 60x60</t>
        </is>
      </c>
      <c r="D12" s="10" t="inlineStr">
        <is>
          <t>m2</t>
        </is>
      </c>
      <c r="E12" s="12" t="n">
        <v>150</v>
      </c>
      <c r="F12" s="13" t="n">
        <v>280000</v>
      </c>
      <c r="G12" s="13">
        <f>E12*F12</f>
        <v/>
      </c>
      <c r="H12" s="9" t="inlineStr">
        <is>
          <t>Chờ duyệt</t>
        </is>
      </c>
    </row>
    <row r="13">
      <c r="A13" s="5" t="n">
        <v>3</v>
      </c>
      <c r="B13" s="5" t="inlineStr">
        <is>
          <t>HM-003</t>
        </is>
      </c>
      <c r="C13" s="6" t="inlineStr">
        <is>
          <t>Lát sàn gạch ceramic 60x60</t>
        </is>
      </c>
      <c r="D13" s="5" t="inlineStr">
        <is>
          <t>m2</t>
        </is>
      </c>
      <c r="E13" s="7" t="n">
        <v>85</v>
      </c>
      <c r="F13" s="8" t="n">
        <v>320000</v>
      </c>
      <c r="G13" s="8">
        <f>E13*F13</f>
        <v/>
      </c>
      <c r="H13" s="9" t="inlineStr">
        <is>
          <t>Chờ duyệt</t>
        </is>
      </c>
    </row>
    <row r="14">
      <c r="A14" s="10" t="n">
        <v>4</v>
      </c>
      <c r="B14" s="10" t="inlineStr">
        <is>
          <t>HM-004</t>
        </is>
      </c>
      <c r="C14" s="11" t="inlineStr">
        <is>
          <t>Thay cửa nhựa lõi thép - cửa đi 90x210</t>
        </is>
      </c>
      <c r="D14" s="10" t="inlineStr">
        <is>
          <t>cái</t>
        </is>
      </c>
      <c r="E14" s="12" t="n">
        <v>4</v>
      </c>
      <c r="F14" s="13" t="n">
        <v>3800000</v>
      </c>
      <c r="G14" s="13">
        <f>E14*F14</f>
        <v/>
      </c>
      <c r="H14" s="9" t="inlineStr">
        <is>
          <t>Chờ duyệt</t>
        </is>
      </c>
    </row>
    <row r="15">
      <c r="A15" s="5" t="n">
        <v>5</v>
      </c>
      <c r="B15" s="5" t="inlineStr">
        <is>
          <t>HM-005</t>
        </is>
      </c>
      <c r="C15" s="6" t="inlineStr">
        <is>
          <t>Thay kính cửa sổ cường lực 8mm</t>
        </is>
      </c>
      <c r="D15" s="5" t="inlineStr">
        <is>
          <t>m2</t>
        </is>
      </c>
      <c r="E15" s="7" t="n">
        <v>18</v>
      </c>
      <c r="F15" s="8" t="n">
        <v>750000</v>
      </c>
      <c r="G15" s="8">
        <f>E15*F15</f>
        <v/>
      </c>
      <c r="H15" s="9" t="inlineStr">
        <is>
          <t>Chờ duyệt</t>
        </is>
      </c>
    </row>
    <row r="16">
      <c r="A16" s="14" t="inlineStr">
        <is>
          <t>TỔNG GIÁ TRỊ HỢP ĐỒNG (VND)</t>
        </is>
      </c>
      <c r="G16" s="15">
        <f>SUM(G11:G15)</f>
        <v/>
      </c>
      <c r="H16" s="14" t="n"/>
    </row>
  </sheetData>
  <mergeCells count="1"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2026-06-22T14:46:23Z</dcterms:created>
  <dcterms:modified xsi:type="dcterms:W3CDTF">2026-06-22T14:46:23Z</dcterms:modified>
</cp:coreProperties>
</file>