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_Tich_Loi_N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BÁO CÁO PHÂN TÍCH LỢI NHUẬN DỰ ÁN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Thời điểm lập:</t>
        </is>
      </c>
      <c r="B4" s="3" t="inlineStr">
        <is>
          <t>2026-06-22 21:40:17</t>
        </is>
      </c>
    </row>
    <row r="5">
      <c r="A5" s="2" t="inlineStr">
        <is>
          <t>Trạng thái tài chính:</t>
        </is>
      </c>
      <c r="B5" s="3" t="inlineStr">
        <is>
          <t>An toàn</t>
        </is>
      </c>
    </row>
    <row r="6"/>
    <row r="7"/>
    <row r="8">
      <c r="A8" s="4" t="inlineStr">
        <is>
          <t>Chỉ tiêu tài chính</t>
        </is>
      </c>
      <c r="B8" s="4" t="inlineStr">
        <is>
          <t>Giá trị dự toán (VNĐ)</t>
        </is>
      </c>
      <c r="C8" s="4" t="inlineStr">
        <is>
          <t>Thực tế thực hiện (VNĐ)</t>
        </is>
      </c>
      <c r="D8" s="4" t="inlineStr">
        <is>
          <t>Tỷ lệ (%)</t>
        </is>
      </c>
    </row>
    <row r="9">
      <c r="A9" s="5" t="inlineStr">
        <is>
          <t>1. DOANH THU DỰ ÁN</t>
        </is>
      </c>
      <c r="B9" s="6" t="n">
        <v>118700000</v>
      </c>
      <c r="C9" s="6" t="n">
        <v>118700000</v>
      </c>
      <c r="D9" s="7">
        <f>C9/B9</f>
        <v/>
      </c>
    </row>
    <row r="10">
      <c r="A10" s="5" t="inlineStr">
        <is>
          <t>2. CHI PHÍ TRỰC TIẾP</t>
        </is>
      </c>
      <c r="B10" s="6" t="inlineStr"/>
      <c r="C10" s="6" t="n">
        <v>0</v>
      </c>
      <c r="D10" s="7">
        <f>C10/C9</f>
        <v/>
      </c>
    </row>
    <row r="11">
      <c r="A11" s="8" t="inlineStr">
        <is>
          <t xml:space="preserve">   - Chi phí Vật tư</t>
        </is>
      </c>
      <c r="B11" s="9" t="inlineStr"/>
      <c r="C11" s="9" t="n">
        <v>0</v>
      </c>
      <c r="D11" s="10">
        <f>C11/C9</f>
        <v/>
      </c>
    </row>
    <row r="12">
      <c r="A12" s="8" t="inlineStr">
        <is>
          <t xml:space="preserve">   - Chi phí Nhân công</t>
        </is>
      </c>
      <c r="B12" s="9" t="inlineStr"/>
      <c r="C12" s="9" t="n">
        <v>0</v>
      </c>
      <c r="D12" s="10">
        <f>C12/C9</f>
        <v/>
      </c>
    </row>
    <row r="13">
      <c r="A13" s="8" t="inlineStr">
        <is>
          <t xml:space="preserve">   - Chi phí Vận chuyển</t>
        </is>
      </c>
      <c r="B13" s="9" t="inlineStr"/>
      <c r="C13" s="9" t="n">
        <v>0</v>
      </c>
      <c r="D13" s="10">
        <f>C13/C9</f>
        <v/>
      </c>
    </row>
    <row r="14">
      <c r="A14" s="8" t="inlineStr">
        <is>
          <t xml:space="preserve">   - Chi phí Máy thi công</t>
        </is>
      </c>
      <c r="B14" s="9" t="inlineStr"/>
      <c r="C14" s="9" t="n">
        <v>0</v>
      </c>
      <c r="D14" s="10">
        <f>C14/C9</f>
        <v/>
      </c>
    </row>
    <row r="15">
      <c r="A15" s="11" t="inlineStr">
        <is>
          <t>3. LỢI NHUẬN GỘP</t>
        </is>
      </c>
      <c r="B15" s="12" t="inlineStr"/>
      <c r="C15" s="12">
        <f>C9-C10</f>
        <v/>
      </c>
      <c r="D15" s="13">
        <f>C15/C9</f>
        <v/>
      </c>
    </row>
    <row r="16">
      <c r="A16" s="5" t="inlineStr">
        <is>
          <t>4. CHI PHÍ GIÁN TIẾP</t>
        </is>
      </c>
      <c r="B16" s="6" t="inlineStr"/>
      <c r="C16" s="6" t="n">
        <v>0</v>
      </c>
      <c r="D16" s="7">
        <f>C16/C9</f>
        <v/>
      </c>
    </row>
    <row r="17">
      <c r="A17" s="8" t="inlineStr">
        <is>
          <t xml:space="preserve">   - Chi phí Quản lý</t>
        </is>
      </c>
      <c r="B17" s="9" t="inlineStr"/>
      <c r="C17" s="9" t="n">
        <v>0</v>
      </c>
      <c r="D17" s="10">
        <f>C17/C9</f>
        <v/>
      </c>
    </row>
    <row r="18">
      <c r="A18" s="8" t="inlineStr">
        <is>
          <t xml:space="preserve">   - Chi phí Khác</t>
        </is>
      </c>
      <c r="B18" s="9" t="inlineStr"/>
      <c r="C18" s="9" t="n">
        <v>0</v>
      </c>
      <c r="D18" s="10">
        <f>C18/C9</f>
        <v/>
      </c>
    </row>
    <row r="19">
      <c r="A19" s="11" t="inlineStr">
        <is>
          <t>5. LỢI NHUẬN RÒNG</t>
        </is>
      </c>
      <c r="B19" s="12" t="inlineStr"/>
      <c r="C19" s="12">
        <f>C15-C16</f>
        <v/>
      </c>
      <c r="D19" s="13">
        <f>C19/C9</f>
        <v/>
      </c>
    </row>
    <row r="20"/>
    <row r="21"/>
    <row r="22">
      <c r="A22" s="14" t="inlineStr">
        <is>
          <t>PHÂN TÍCH NGUYÊN NHÂN VƯỢT NGÂN SÁCH/TRỄ TIẾN ĐỘ</t>
        </is>
      </c>
    </row>
    <row r="23">
      <c r="A23" s="15" t="inlineStr">
        <is>
          <t>Lợi nhuận dự án đạt mức kỳ vọng. Không phát hiện vượt chi phí đáng kể do chậm trễ.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2026-06-22T14:40:17Z</dcterms:created>
  <dcterms:modified xsi:type="dcterms:W3CDTF">2026-06-22T14:40:17Z</dcterms:modified>
</cp:coreProperties>
</file>