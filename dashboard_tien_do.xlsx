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hi tiết hạng mụ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<sst xmlns="http://schemas.openxmlformats.org/spreadsheetml/2006/main" count="121" uniqueCount="79">
  <si>
    <t xml:space="preserve">DASHBOARD TIẾN ĐỘ DỰ ÁN</t>
  </si>
  <si>
    <t xml:space="preserve">Tên công trình:</t>
  </si>
  <si>
    <t xml:space="preserve">Xây dựng nhà xưởng sản xuất A1 - KCN Tân Bình</t>
  </si>
  <si>
    <t xml:space="preserve">Ngày báo cáo (as of):</t>
  </si>
  <si>
    <t xml:space="preserve">2026-06-22</t>
  </si>
  <si>
    <t xml:space="preserve">% Hoàn thành toàn dự án:</t>
  </si>
  <si>
    <t xml:space="preserve">Chỉ số tiến độ giá trị (EV/PV):</t>
  </si>
  <si>
    <t xml:space="preserve">TRẠNG THÁI CÁC MỐC (MILESTONE)</t>
  </si>
  <si>
    <t xml:space="preserve">Mốc</t>
  </si>
  <si>
    <t xml:space="preserve">Ngày dự kiến hoàn thành</t>
  </si>
  <si>
    <t xml:space="preserve">% hoàn thành (TB hạng mục)</t>
  </si>
  <si>
    <t xml:space="preserve">Trễ tối đa (ngày)</t>
  </si>
  <si>
    <t xml:space="preserve">Trạng thái</t>
  </si>
  <si>
    <t xml:space="preserve">Mốc 1 - Hoàn thành phá dỡ</t>
  </si>
  <si>
    <t xml:space="preserve">2026-03-10</t>
  </si>
  <si>
    <t xml:space="preserve">Xanh</t>
  </si>
  <si>
    <t xml:space="preserve">Mốc 2 - Hoàn thành phần thô</t>
  </si>
  <si>
    <t xml:space="preserve">2026-05-15</t>
  </si>
  <si>
    <t xml:space="preserve">Đỏ</t>
  </si>
  <si>
    <t xml:space="preserve">Mốc 3 - Hoàn thành hoàn thiện</t>
  </si>
  <si>
    <t xml:space="preserve">2026-09-30</t>
  </si>
  <si>
    <t xml:space="preserve">DANH SÁCH HẠNG MỤC TRỄ TIẾN ĐỘ (CHUẨN BỊ HỌP ĐIỀU PHỐI)</t>
  </si>
  <si>
    <t xml:space="preserve">Mã hạng mục</t>
  </si>
  <si>
    <t xml:space="preserve">Tên hạng mục</t>
  </si>
  <si>
    <t xml:space="preserve">Số ngày trễ</t>
  </si>
  <si>
    <t xml:space="preserve">Mức cảnh báo</t>
  </si>
  <si>
    <t xml:space="preserve">Lý do chậm</t>
  </si>
  <si>
    <t xml:space="preserve">HM-003</t>
  </si>
  <si>
    <t xml:space="preserve">Lợp mái tôn cách nhiệt 2 lớp</t>
  </si>
  <si>
    <t xml:space="preserve">Máy móc</t>
  </si>
  <si>
    <t xml:space="preserve">HM-004</t>
  </si>
  <si>
    <t xml:space="preserve">Xây tường gạch block 200mm</t>
  </si>
  <si>
    <t xml:space="preserve">Khác</t>
  </si>
  <si>
    <t xml:space="preserve">HM-002</t>
  </si>
  <si>
    <t xml:space="preserve">Lắp dựng khung kèo thép tiền chế</t>
  </si>
  <si>
    <t xml:space="preserve">Chờ vật tư</t>
  </si>
  <si>
    <t xml:space="preserve">HM-001</t>
  </si>
  <si>
    <t xml:space="preserve">Thi công nền móng bê tông cốt thép</t>
  </si>
  <si>
    <t xml:space="preserve">Vàng</t>
  </si>
  <si>
    <t xml:space="preserve">Thời tiết</t>
  </si>
  <si>
    <t xml:space="preserve">HM-007</t>
  </si>
  <si>
    <t xml:space="preserve">Sơn nước hoàn thiện ngoại thất</t>
  </si>
  <si>
    <t xml:space="preserve">Báo cáo tạo ngày: 22/06/2026 08:13</t>
  </si>
  <si>
    <t xml:space="preserve">ĐVT</t>
  </si>
  <si>
    <t xml:space="preserve">SL kế hoạch</t>
  </si>
  <si>
    <t xml:space="preserve">SL thực tế</t>
  </si>
  <si>
    <t xml:space="preserve">Chênh lệch SL</t>
  </si>
  <si>
    <t xml:space="preserve">% hoàn thành</t>
  </si>
  <si>
    <t xml:space="preserve">Ngày BĐ kế hoạch</t>
  </si>
  <si>
    <t xml:space="preserve">Ngày KT kế hoạch</t>
  </si>
  <si>
    <t xml:space="preserve">Ngày BĐ thực tế</t>
  </si>
  <si>
    <t xml:space="preserve">Ngày KT thực tế</t>
  </si>
  <si>
    <t xml:space="preserve">Cờ cảnh báo</t>
  </si>
  <si>
    <t xml:space="preserve">Ghi chú hiện trường</t>
  </si>
  <si>
    <t xml:space="preserve">Giá trị kế hoạch (VNĐ)</t>
  </si>
  <si>
    <t xml:space="preserve">Giá trị đạt được - EV (VNĐ)</t>
  </si>
  <si>
    <t xml:space="preserve">m3</t>
  </si>
  <si>
    <t xml:space="preserve">2026-03-01</t>
  </si>
  <si>
    <t xml:space="preserve">2026-03-20</t>
  </si>
  <si>
    <t xml:space="preserve">2026-03-02</t>
  </si>
  <si>
    <t xml:space="preserve">2026-03-22</t>
  </si>
  <si>
    <t xml:space="preserve">Hoàn thành đúng khối lượng, trễ nhẹ do mưa 2 ngày.</t>
  </si>
  <si>
    <t xml:space="preserve">tấn</t>
  </si>
  <si>
    <t xml:space="preserve">2026-03-21</t>
  </si>
  <si>
    <t xml:space="preserve">2026-04-15</t>
  </si>
  <si>
    <t xml:space="preserve">2026-03-23</t>
  </si>
  <si>
    <t xml:space="preserve">2026-04-25</t>
  </si>
  <si>
    <t xml:space="preserve">Thép về trễ 1 tuần so với kế hoạch.</t>
  </si>
  <si>
    <t xml:space="preserve">m2</t>
  </si>
  <si>
    <t xml:space="preserve">2026-04-16</t>
  </si>
  <si>
    <t xml:space="preserve">2026-05-10</t>
  </si>
  <si>
    <t xml:space="preserve">2026-04-28</t>
  </si>
  <si>
    <t xml:space="preserve">Đang thi công, còn 300m2 khu vực phía sau xưởng.</t>
  </si>
  <si>
    <t xml:space="preserve">2026-04-20</t>
  </si>
  <si>
    <t xml:space="preserve">2026-05-20</t>
  </si>
  <si>
    <t xml:space="preserve">2026-05-22</t>
  </si>
  <si>
    <t xml:space="preserve">Mới bắt đầu, thiếu nhân công do điều chuyển sang HM-002.</t>
  </si>
  <si>
    <t xml:space="preserve">2026-06-01</t>
  </si>
  <si>
    <t xml:space="preserve">2026-06-20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</si>
</sst>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General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5" customFormat="false" ht="17.35" hidden="false" customHeight="false" outlineLevel="0" collapsed="false">
      <c r="A5" s="4" t="s">
        <v>5</v>
      </c>
      <c r="B5" s="5" t="n">
        <v>0.63</v>
      </c>
      <c r="D5" s="4" t="s">
        <v>6</v>
      </c>
      <c r="E5" s="6" t="n">
        <v>0.87</v>
      </c>
    </row>
    <row r="7" customFormat="false" ht="15" hidden="false" customHeight="false" outlineLevel="0" collapsed="false">
      <c r="A7" s="4" t="s">
        <v>7</v>
      </c>
    </row>
    <row r="8" customFormat="false" ht="26.85" hidden="false" customHeight="false" outlineLevel="0" collapsed="false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</row>
    <row r="9" customFormat="false" ht="15" hidden="false" customHeight="false" outlineLevel="0" collapsed="false">
      <c r="A9" s="8" t="s">
        <v>13</v>
      </c>
      <c r="B9" s="8" t="s">
        <v>14</v>
      </c>
      <c r="C9" s="9" t="n">
        <v>0</v>
      </c>
      <c r="D9" s="8" t="n">
        <v>0</v>
      </c>
      <c r="E9" s="10" t="s">
        <v>15</v>
      </c>
    </row>
    <row r="10" customFormat="false" ht="15" hidden="false" customHeight="false" outlineLevel="0" collapsed="false">
      <c r="A10" s="8" t="s">
        <v>16</v>
      </c>
      <c r="B10" s="8" t="s">
        <v>17</v>
      </c>
      <c r="C10" s="9" t="n">
        <v>0.944</v>
      </c>
      <c r="D10" s="8" t="n">
        <v>43</v>
      </c>
      <c r="E10" s="11" t="s">
        <v>18</v>
      </c>
    </row>
    <row r="11" customFormat="false" ht="15" hidden="false" customHeight="false" outlineLevel="0" collapsed="false">
      <c r="A11" s="8" t="s">
        <v>19</v>
      </c>
      <c r="B11" s="8" t="s">
        <v>20</v>
      </c>
      <c r="C11" s="9" t="n">
        <v>0.158</v>
      </c>
      <c r="D11" s="8" t="n">
        <v>33</v>
      </c>
      <c r="E11" s="11" t="s">
        <v>18</v>
      </c>
    </row>
    <row r="13" customFormat="false" ht="15" hidden="false" customHeight="false" outlineLevel="0" collapsed="false">
      <c r="A13" s="12" t="s">
        <v>21</v>
      </c>
    </row>
    <row r="14" customFormat="false" ht="26.85" hidden="false" customHeight="false" outlineLevel="0" collapsed="false">
      <c r="A14" s="7" t="s">
        <v>22</v>
      </c>
      <c r="B14" s="7" t="s">
        <v>23</v>
      </c>
      <c r="C14" s="7" t="s">
        <v>8</v>
      </c>
      <c r="D14" s="7" t="s">
        <v>24</v>
      </c>
      <c r="E14" s="7" t="s">
        <v>25</v>
      </c>
      <c r="F14" s="7" t="s">
        <v>26</v>
      </c>
    </row>
    <row r="15" customFormat="false" ht="15" hidden="false" customHeight="false" outlineLevel="0" collapsed="false">
      <c r="A15" s="13" t="s">
        <v>27</v>
      </c>
      <c r="B15" s="13" t="s">
        <v>28</v>
      </c>
      <c r="C15" s="13" t="s">
        <v>16</v>
      </c>
      <c r="D15" s="13" t="n">
        <v>43</v>
      </c>
      <c r="E15" s="14" t="s">
        <v>18</v>
      </c>
      <c r="F15" s="13" t="s">
        <v>29</v>
      </c>
    </row>
    <row r="16" customFormat="false" ht="15" hidden="false" customHeight="false" outlineLevel="0" collapsed="false">
      <c r="A16" s="13" t="s">
        <v>30</v>
      </c>
      <c r="B16" s="13" t="s">
        <v>31</v>
      </c>
      <c r="C16" s="13" t="s">
        <v>19</v>
      </c>
      <c r="D16" s="13" t="n">
        <v>33</v>
      </c>
      <c r="E16" s="14" t="s">
        <v>18</v>
      </c>
      <c r="F16" s="13" t="s">
        <v>32</v>
      </c>
    </row>
    <row r="17" customFormat="false" ht="15" hidden="false" customHeight="false" outlineLevel="0" collapsed="false">
      <c r="A17" s="13" t="s">
        <v>33</v>
      </c>
      <c r="B17" s="13" t="s">
        <v>34</v>
      </c>
      <c r="C17" s="13" t="s">
        <v>16</v>
      </c>
      <c r="D17" s="13" t="n">
        <v>10</v>
      </c>
      <c r="E17" s="14" t="s">
        <v>18</v>
      </c>
      <c r="F17" s="13" t="s">
        <v>35</v>
      </c>
    </row>
    <row r="18" customFormat="false" ht="15" hidden="false" customHeight="false" outlineLevel="0" collapsed="false">
      <c r="A18" s="13" t="s">
        <v>36</v>
      </c>
      <c r="B18" s="13" t="s">
        <v>37</v>
      </c>
      <c r="C18" s="13" t="s">
        <v>16</v>
      </c>
      <c r="D18" s="13" t="n">
        <v>2</v>
      </c>
      <c r="E18" s="15" t="s">
        <v>38</v>
      </c>
      <c r="F18" s="13" t="s">
        <v>39</v>
      </c>
    </row>
    <row r="19" customFormat="false" ht="15" hidden="false" customHeight="false" outlineLevel="0" collapsed="false">
      <c r="A19" s="13" t="s">
        <v>40</v>
      </c>
      <c r="B19" s="13" t="s">
        <v>41</v>
      </c>
      <c r="C19" s="13" t="s">
        <v>19</v>
      </c>
      <c r="D19" s="13" t="n">
        <v>2</v>
      </c>
      <c r="E19" s="15" t="s">
        <v>38</v>
      </c>
      <c r="F19" s="13"/>
    </row>
    <row r="23" customFormat="false" ht="15" hidden="false" customHeight="false" outlineLevel="0" collapsed="false">
      <c r="A23" s="16" t="s">
        <v>42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12" min="9" style="0" width="13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28"/>
    <col collapsed="false" customWidth="true" hidden="false" outlineLevel="0" max="18" min="17" style="0" width="18"/>
  </cols>
  <sheetData>
    <row r="1" customFormat="false" ht="31.5" hidden="false" customHeight="true" outlineLevel="0" collapsed="false">
      <c r="A1" s="7" t="s">
        <v>22</v>
      </c>
      <c r="B1" s="7" t="s">
        <v>23</v>
      </c>
      <c r="C1" s="7" t="s">
        <v>43</v>
      </c>
      <c r="D1" s="7" t="s">
        <v>8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51</v>
      </c>
      <c r="M1" s="7" t="s">
        <v>24</v>
      </c>
      <c r="N1" s="7" t="s">
        <v>52</v>
      </c>
      <c r="O1" s="7" t="s">
        <v>26</v>
      </c>
      <c r="P1" s="7" t="s">
        <v>53</v>
      </c>
      <c r="Q1" s="7" t="s">
        <v>54</v>
      </c>
      <c r="R1" s="7" t="s">
        <v>55</v>
      </c>
    </row>
    <row r="2" customFormat="false" ht="28.35" hidden="false" customHeight="false" outlineLevel="0" collapsed="false">
      <c r="A2" s="8" t="s">
        <v>36</v>
      </c>
      <c r="B2" s="17" t="s">
        <v>37</v>
      </c>
      <c r="C2" s="8" t="s">
        <v>56</v>
      </c>
      <c r="D2" s="8" t="s">
        <v>16</v>
      </c>
      <c r="E2" s="8" t="n">
        <v>320</v>
      </c>
      <c r="F2" s="8" t="n">
        <v>320</v>
      </c>
      <c r="G2" s="18" t="n">
        <f aca="false">F2-E2</f>
        <v>0</v>
      </c>
      <c r="H2" s="9" t="n">
        <f aca="false">IF(E2=0,0,F2/E2)</f>
        <v>1</v>
      </c>
      <c r="I2" s="8" t="s">
        <v>57</v>
      </c>
      <c r="J2" s="8" t="s">
        <v>58</v>
      </c>
      <c r="K2" s="8" t="s">
        <v>59</v>
      </c>
      <c r="L2" s="8" t="s">
        <v>60</v>
      </c>
      <c r="M2" s="8" t="n">
        <v>2</v>
      </c>
      <c r="N2" s="19" t="s">
        <v>38</v>
      </c>
      <c r="O2" s="17" t="s">
        <v>39</v>
      </c>
      <c r="P2" s="17" t="s">
        <v>61</v>
      </c>
      <c r="Q2" s="20" t="n">
        <v>912000000</v>
      </c>
      <c r="R2" s="20" t="n">
        <v>912000000</v>
      </c>
    </row>
    <row r="3" customFormat="false" ht="28.35" hidden="false" customHeight="false" outlineLevel="0" collapsed="false">
      <c r="A3" s="8" t="s">
        <v>33</v>
      </c>
      <c r="B3" s="17" t="s">
        <v>34</v>
      </c>
      <c r="C3" s="8" t="s">
        <v>62</v>
      </c>
      <c r="D3" s="8" t="s">
        <v>16</v>
      </c>
      <c r="E3" s="8" t="n">
        <v>45</v>
      </c>
      <c r="F3" s="8" t="n">
        <v>45</v>
      </c>
      <c r="G3" s="18" t="n">
        <f aca="false">F3-E3</f>
        <v>0</v>
      </c>
      <c r="H3" s="9" t="n">
        <f aca="false">IF(E3=0,0,F3/E3)</f>
        <v>1</v>
      </c>
      <c r="I3" s="8" t="s">
        <v>63</v>
      </c>
      <c r="J3" s="8" t="s">
        <v>64</v>
      </c>
      <c r="K3" s="8" t="s">
        <v>65</v>
      </c>
      <c r="L3" s="8" t="s">
        <v>66</v>
      </c>
      <c r="M3" s="8" t="n">
        <v>10</v>
      </c>
      <c r="N3" s="11" t="s">
        <v>18</v>
      </c>
      <c r="O3" s="17" t="s">
        <v>35</v>
      </c>
      <c r="P3" s="17" t="s">
        <v>67</v>
      </c>
      <c r="Q3" s="20" t="n">
        <v>1192500000</v>
      </c>
      <c r="R3" s="20" t="n">
        <v>1192500000</v>
      </c>
    </row>
    <row r="4" customFormat="false" ht="28.35" hidden="false" customHeight="false" outlineLevel="0" collapsed="false">
      <c r="A4" s="8" t="s">
        <v>27</v>
      </c>
      <c r="B4" s="17" t="s">
        <v>28</v>
      </c>
      <c r="C4" s="8" t="s">
        <v>68</v>
      </c>
      <c r="D4" s="8" t="s">
        <v>16</v>
      </c>
      <c r="E4" s="8" t="n">
        <v>1800</v>
      </c>
      <c r="F4" s="8" t="n">
        <v>1500</v>
      </c>
      <c r="G4" s="18" t="n">
        <f aca="false">F4-E4</f>
        <v>-300</v>
      </c>
      <c r="H4" s="9" t="n">
        <f aca="false">IF(E4=0,0,F4/E4)</f>
        <v>0.833333333333333</v>
      </c>
      <c r="I4" s="8" t="s">
        <v>69</v>
      </c>
      <c r="J4" s="8" t="s">
        <v>70</v>
      </c>
      <c r="K4" s="8" t="s">
        <v>71</v>
      </c>
      <c r="L4" s="8"/>
      <c r="M4" s="8" t="n">
        <v>43</v>
      </c>
      <c r="N4" s="11" t="s">
        <v>18</v>
      </c>
      <c r="O4" s="17" t="s">
        <v>29</v>
      </c>
      <c r="P4" s="17" t="s">
        <v>72</v>
      </c>
      <c r="Q4" s="20" t="n">
        <v>513000000</v>
      </c>
      <c r="R4" s="20" t="n">
        <v>427500000</v>
      </c>
    </row>
    <row r="5" customFormat="false" ht="28.35" hidden="false" customHeight="false" outlineLevel="0" collapsed="false">
      <c r="A5" s="8" t="s">
        <v>30</v>
      </c>
      <c r="B5" s="17" t="s">
        <v>31</v>
      </c>
      <c r="C5" s="8" t="s">
        <v>68</v>
      </c>
      <c r="D5" s="8" t="s">
        <v>19</v>
      </c>
      <c r="E5" s="8" t="n">
        <v>950</v>
      </c>
      <c r="F5" s="8" t="n">
        <v>300</v>
      </c>
      <c r="G5" s="18" t="n">
        <f aca="false">F5-E5</f>
        <v>-650</v>
      </c>
      <c r="H5" s="9" t="n">
        <f aca="false">IF(E5=0,0,F5/E5)</f>
        <v>0.315789473684211</v>
      </c>
      <c r="I5" s="8" t="s">
        <v>73</v>
      </c>
      <c r="J5" s="8" t="s">
        <v>74</v>
      </c>
      <c r="K5" s="8" t="s">
        <v>75</v>
      </c>
      <c r="L5" s="8"/>
      <c r="M5" s="8" t="n">
        <v>33</v>
      </c>
      <c r="N5" s="11" t="s">
        <v>18</v>
      </c>
      <c r="O5" s="17" t="s">
        <v>32</v>
      </c>
      <c r="P5" s="17" t="s">
        <v>76</v>
      </c>
      <c r="Q5" s="20" t="n">
        <v>304000000</v>
      </c>
      <c r="R5" s="20" t="n">
        <v>96000000</v>
      </c>
    </row>
    <row r="6" customFormat="false" ht="15" hidden="false" customHeight="false" outlineLevel="0" collapsed="false">
      <c r="A6" s="8" t="s">
        <v>40</v>
      </c>
      <c r="B6" s="17" t="s">
        <v>41</v>
      </c>
      <c r="C6" s="8" t="s">
        <v>68</v>
      </c>
      <c r="D6" s="8" t="s">
        <v>19</v>
      </c>
      <c r="E6" s="8" t="n">
        <v>1100</v>
      </c>
      <c r="F6" s="8" t="n">
        <v>0</v>
      </c>
      <c r="G6" s="18" t="n">
        <f aca="false">F6-E6</f>
        <v>-1100</v>
      </c>
      <c r="H6" s="9" t="n">
        <f aca="false">IF(E6=0,0,F6/E6)</f>
        <v>0</v>
      </c>
      <c r="I6" s="8" t="s">
        <v>77</v>
      </c>
      <c r="J6" s="8" t="s">
        <v>78</v>
      </c>
      <c r="K6" s="8"/>
      <c r="L6" s="8"/>
      <c r="M6" s="8" t="n">
        <v>2</v>
      </c>
      <c r="N6" s="19" t="s">
        <v>38</v>
      </c>
      <c r="O6" s="17"/>
      <c r="P6" s="17"/>
      <c r="Q6" s="20" t="n">
        <v>104500000</v>
      </c>
      <c r="R6" s="20" t="n">
        <v>0</v>
      </c>
    </row>
  </sheetData>
  <conditionalFormatting sqref="N2:N6">
    <cfRule type="cellIs" priority="2" operator="equal" aboveAverage="0" equalAverage="0" bottom="0" percent="0" rank="0" text="" dxfId="0">
      <formula>"Đỏ"</formula>
    </cfRule>
    <cfRule type="cellIs" priority="3" operator="equal" aboveAverage="0" equalAverage="0" bottom="0" percent="0" rank="0" text="" dxfId="1">
      <formula>"Vàng"</formula>
    </cfRule>
    <cfRule type="cellIs" priority="4" operator="equal" aboveAverage="0" equalAverage="0" bottom="0" percent="0" rank="0" text="" dxfId="2">
      <formula>"Xanh"</formula>
    </cfRule>
  </conditionalFormatting>
  <conditionalFormatting sqref="G2:G6">
    <cfRule type="cellIs" priority="5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2026-06-22T08:13:02Z</dcterms:created>
  <dc:creator>openpyxl</dc:creator>
  <dc:description/>
  <dc:language>en-US</dc:language>
  <cp:lastModifiedBy/>
  <dcterms:modified xsi:type="dcterms:W3CDTF">2026-06-22T08:13:02Z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