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O_GIA" sheetId="1" state="visible" r:id="rId1"/>
    <sheet name="NGHIEM_THU" sheetId="2" state="visible" r:id="rId2"/>
    <sheet name="QUYET_TOAN_AB" sheetId="3" state="visible" r:id="rId3"/>
    <sheet name="DE_NGHI_TT" sheetId="4" state="visible" r:id="rId4"/>
    <sheet name="BANG_KE_HDGTG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right"/>
    </xf>
    <xf numFmtId="0" fontId="6" fillId="4" borderId="1" applyAlignment="1" pivotButton="0" quotePrefix="0" xfId="0">
      <alignment horizontal="right" vertical="center"/>
    </xf>
    <xf numFmtId="3" fontId="6" fillId="4" borderId="1" applyAlignment="1" pivotButton="0" quotePrefix="0" xfId="0">
      <alignment horizontal="right" vertical="center"/>
    </xf>
    <xf numFmtId="0" fontId="1" fillId="0" borderId="0" pivotButton="0" quotePrefix="0" xfId="0"/>
    <xf numFmtId="3" fontId="5" fillId="3" borderId="1" applyAlignment="1" pivotButton="0" quotePrefix="0" xfId="0">
      <alignment horizontal="right" vertical="center" wrapText="1"/>
    </xf>
    <xf numFmtId="3" fontId="5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8" customWidth="1" min="3" max="3"/>
    <col width="12" customWidth="1" min="4" max="4"/>
    <col width="15" customWidth="1" min="5" max="5"/>
    <col width="18" customWidth="1" min="6" max="6"/>
  </cols>
  <sheetData>
    <row r="1">
      <c r="A1" t="inlineStr">
        <is>
          <t>Bên B</t>
        </is>
      </c>
      <c r="F1" t="inlineStr">
        <is>
          <t>Số HĐ: HĐ-01</t>
        </is>
      </c>
    </row>
    <row r="2">
      <c r="F2" t="inlineStr">
        <is>
          <t xml:space="preserve">Ngày HĐ: </t>
        </is>
      </c>
    </row>
    <row r="3"/>
    <row r="4">
      <c r="A4" s="1" t="inlineStr">
        <is>
          <t>BẢNG BÁO GIÁ CHI TIẾT HỢP ĐỒNG</t>
        </is>
      </c>
    </row>
    <row r="5"/>
    <row r="6">
      <c r="A6" s="2" t="inlineStr">
        <is>
          <t>Dự án:</t>
        </is>
      </c>
      <c r="B6" s="3" t="inlineStr">
        <is>
          <t>Test Project</t>
        </is>
      </c>
      <c r="D6" s="2" t="n"/>
      <c r="E6" s="3" t="n"/>
    </row>
    <row r="7">
      <c r="A7" s="2" t="inlineStr">
        <is>
          <t>Bên A:</t>
        </is>
      </c>
      <c r="B7" s="3" t="inlineStr">
        <is>
          <t>Client A</t>
        </is>
      </c>
      <c r="D7" s="2" t="inlineStr">
        <is>
          <t>Bên B:</t>
        </is>
      </c>
      <c r="E7" s="3" t="inlineStr"/>
    </row>
    <row r="8"/>
    <row r="9">
      <c r="A9" s="4" t="inlineStr">
        <is>
          <t>STT</t>
        </is>
      </c>
      <c r="B9" s="4" t="inlineStr">
        <is>
          <t>Hạng mục công việc</t>
        </is>
      </c>
      <c r="C9" s="4" t="inlineStr">
        <is>
          <t>ĐVT</t>
        </is>
      </c>
      <c r="D9" s="4" t="inlineStr">
        <is>
          <t>KL Dự toán</t>
        </is>
      </c>
      <c r="E9" s="4" t="inlineStr">
        <is>
          <t>Đơn giá (VNĐ)</t>
        </is>
      </c>
      <c r="F9" s="4" t="inlineStr">
        <is>
          <t>Thành tiền (VNĐ)</t>
        </is>
      </c>
    </row>
    <row r="10">
      <c r="A10" s="5" t="n">
        <v>1</v>
      </c>
      <c r="B10" s="6" t="inlineStr">
        <is>
          <t>Sơn lại tường trong nhà (2 lớp lót + 2 lớp phủ)</t>
        </is>
      </c>
      <c r="C10" s="5" t="inlineStr">
        <is>
          <t>m2</t>
        </is>
      </c>
      <c r="D10" s="7" t="n">
        <v>320</v>
      </c>
      <c r="E10" s="7" t="n">
        <v>65000</v>
      </c>
      <c r="F10" s="7">
        <f>D10*E10</f>
        <v/>
      </c>
    </row>
    <row r="11">
      <c r="A11" s="8" t="n">
        <v>2</v>
      </c>
      <c r="B11" s="9" t="inlineStr">
        <is>
          <t>Thay trần thạch cao vuông 60x60</t>
        </is>
      </c>
      <c r="C11" s="8" t="inlineStr">
        <is>
          <t>m2</t>
        </is>
      </c>
      <c r="D11" s="10" t="n">
        <v>150</v>
      </c>
      <c r="E11" s="10" t="n">
        <v>280000</v>
      </c>
      <c r="F11" s="10">
        <f>D11*E11</f>
        <v/>
      </c>
    </row>
    <row r="12">
      <c r="A12" s="5" t="n">
        <v>3</v>
      </c>
      <c r="B12" s="6" t="inlineStr">
        <is>
          <t>Lát sàn gạch ceramic 60x60</t>
        </is>
      </c>
      <c r="C12" s="5" t="inlineStr">
        <is>
          <t>m2</t>
        </is>
      </c>
      <c r="D12" s="7" t="n">
        <v>85</v>
      </c>
      <c r="E12" s="7" t="n">
        <v>320000</v>
      </c>
      <c r="F12" s="7">
        <f>D12*E12</f>
        <v/>
      </c>
    </row>
    <row r="13">
      <c r="A13" s="8" t="n">
        <v>4</v>
      </c>
      <c r="B13" s="9" t="inlineStr">
        <is>
          <t>Thay cửa nhựa lõi thép - cửa đi 90x210</t>
        </is>
      </c>
      <c r="C13" s="8" t="inlineStr">
        <is>
          <t>cái</t>
        </is>
      </c>
      <c r="D13" s="10" t="n">
        <v>4</v>
      </c>
      <c r="E13" s="10" t="n">
        <v>3800000</v>
      </c>
      <c r="F13" s="10">
        <f>D13*E13</f>
        <v/>
      </c>
    </row>
    <row r="14">
      <c r="A14" s="5" t="n">
        <v>5</v>
      </c>
      <c r="B14" s="6" t="inlineStr">
        <is>
          <t>Thay kính cửa sổ cường lực 8mm</t>
        </is>
      </c>
      <c r="C14" s="5" t="inlineStr">
        <is>
          <t>m2</t>
        </is>
      </c>
      <c r="D14" s="7" t="n">
        <v>18</v>
      </c>
      <c r="E14" s="7" t="n">
        <v>750000</v>
      </c>
      <c r="F14" s="7">
        <f>D14*E14</f>
        <v/>
      </c>
    </row>
    <row r="15">
      <c r="A15" s="11" t="inlineStr">
        <is>
          <t>TỔNG CỘNG</t>
        </is>
      </c>
      <c r="B15" s="11" t="n"/>
      <c r="C15" s="11" t="n"/>
      <c r="D15" s="11" t="n"/>
      <c r="E15" s="11" t="n"/>
      <c r="F15" s="12">
        <f>SUM(F10:F14)</f>
        <v/>
      </c>
    </row>
    <row r="16">
      <c r="A16" s="11" t="inlineStr">
        <is>
          <t>Chi phí quản lý (5%)</t>
        </is>
      </c>
      <c r="B16" s="11" t="n"/>
      <c r="C16" s="11" t="n"/>
      <c r="D16" s="11" t="n"/>
      <c r="E16" s="11" t="n"/>
      <c r="F16" s="12">
        <f>F15*0.05</f>
        <v/>
      </c>
    </row>
    <row r="17">
      <c r="A17" s="11" t="inlineStr">
        <is>
          <t>Thuế VAT (10%)</t>
        </is>
      </c>
      <c r="B17" s="11" t="n"/>
      <c r="C17" s="11" t="n"/>
      <c r="D17" s="11" t="n"/>
      <c r="E17" s="11" t="n"/>
      <c r="F17" s="12">
        <f>(F15+F16)*0.10</f>
        <v/>
      </c>
    </row>
    <row r="18">
      <c r="A18" s="11" t="inlineStr">
        <is>
          <t>TỔNG GIÁ TRỊ HỢP ĐỒNG</t>
        </is>
      </c>
      <c r="B18" s="11" t="n"/>
      <c r="C18" s="11" t="n"/>
      <c r="D18" s="11" t="n"/>
      <c r="E18" s="11" t="n"/>
      <c r="F18" s="12">
        <f>F15+F16+F17</f>
        <v/>
      </c>
    </row>
  </sheetData>
  <mergeCells count="5">
    <mergeCell ref="A16:E16"/>
    <mergeCell ref="A15:E15"/>
    <mergeCell ref="A4:F4"/>
    <mergeCell ref="A17:E17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8" customWidth="1" min="3" max="3"/>
    <col width="12" customWidth="1" min="4" max="4"/>
    <col width="12" customWidth="1" min="5" max="5"/>
    <col width="15" customWidth="1" min="6" max="6"/>
    <col width="18" customWidth="1" min="7" max="7"/>
    <col width="12" customWidth="1" min="8" max="8"/>
  </cols>
  <sheetData>
    <row r="1">
      <c r="A1" t="inlineStr">
        <is>
          <t>Bên B</t>
        </is>
      </c>
      <c r="H1" t="inlineStr">
        <is>
          <t>Căn cứ HĐ số: HĐ-01</t>
        </is>
      </c>
    </row>
    <row r="2"/>
    <row r="3">
      <c r="A3" s="1" t="inlineStr">
        <is>
          <t>BIÊN BẢN NGHIỆM THU KHỐI LƯỢNG HOÀN THÀNH</t>
        </is>
      </c>
    </row>
    <row r="4"/>
    <row r="5">
      <c r="A5" t="inlineStr">
        <is>
          <t>Dự án:</t>
        </is>
      </c>
      <c r="B5" t="inlineStr">
        <is>
          <t>Test Project</t>
        </is>
      </c>
    </row>
    <row r="6"/>
    <row r="7">
      <c r="A7" s="4" t="inlineStr">
        <is>
          <t>STT</t>
        </is>
      </c>
      <c r="B7" s="4" t="inlineStr">
        <is>
          <t>Hạng mục công việc</t>
        </is>
      </c>
      <c r="C7" s="4" t="inlineStr">
        <is>
          <t>ĐVT</t>
        </is>
      </c>
      <c r="D7" s="4" t="inlineStr">
        <is>
          <t>KL theo HĐ</t>
        </is>
      </c>
      <c r="E7" s="4" t="inlineStr">
        <is>
          <t>KL thực hiện</t>
        </is>
      </c>
      <c r="F7" s="4" t="inlineStr">
        <is>
          <t>Đơn giá (VNĐ)</t>
        </is>
      </c>
      <c r="G7" s="4" t="inlineStr">
        <is>
          <t>Thành tiền (VNĐ)</t>
        </is>
      </c>
      <c r="H7" s="4" t="inlineStr">
        <is>
          <t>Ghi chú</t>
        </is>
      </c>
    </row>
    <row r="8">
      <c r="A8" s="5" t="n">
        <v>1</v>
      </c>
      <c r="B8" s="6" t="inlineStr">
        <is>
          <t>Sơn lại tường trong nhà (2 lớp lót + 2 lớp phủ)</t>
        </is>
      </c>
      <c r="C8" s="5" t="inlineStr">
        <is>
          <t>m2</t>
        </is>
      </c>
      <c r="D8" s="7">
        <f>BAO_GIA!D10</f>
        <v/>
      </c>
      <c r="E8" s="7" t="n">
        <v>320</v>
      </c>
      <c r="F8" s="7">
        <f>BAO_GIA!E10</f>
        <v/>
      </c>
      <c r="G8" s="7">
        <f>E8*F8</f>
        <v/>
      </c>
      <c r="H8" s="6">
        <f>IF(E8&gt;=D8, "Đạt", "Thiếu " &amp; TEXT(D8-E8, "#,##0"))</f>
        <v/>
      </c>
    </row>
    <row r="9">
      <c r="A9" s="8" t="n">
        <v>2</v>
      </c>
      <c r="B9" s="9" t="inlineStr">
        <is>
          <t>Thay trần thạch cao vuông 60x60</t>
        </is>
      </c>
      <c r="C9" s="8" t="inlineStr">
        <is>
          <t>m2</t>
        </is>
      </c>
      <c r="D9" s="10">
        <f>BAO_GIA!D11</f>
        <v/>
      </c>
      <c r="E9" s="10" t="n">
        <v>150</v>
      </c>
      <c r="F9" s="10">
        <f>BAO_GIA!E11</f>
        <v/>
      </c>
      <c r="G9" s="10">
        <f>E9*F9</f>
        <v/>
      </c>
      <c r="H9" s="9">
        <f>IF(E9&gt;=D9, "Đạt", "Thiếu " &amp; TEXT(D9-E9, "#,##0"))</f>
        <v/>
      </c>
    </row>
    <row r="10">
      <c r="A10" s="5" t="n">
        <v>3</v>
      </c>
      <c r="B10" s="6" t="inlineStr">
        <is>
          <t>Lát sàn gạch ceramic 60x60</t>
        </is>
      </c>
      <c r="C10" s="5" t="inlineStr">
        <is>
          <t>m2</t>
        </is>
      </c>
      <c r="D10" s="7">
        <f>BAO_GIA!D12</f>
        <v/>
      </c>
      <c r="E10" s="7" t="n">
        <v>85</v>
      </c>
      <c r="F10" s="7">
        <f>BAO_GIA!E12</f>
        <v/>
      </c>
      <c r="G10" s="7">
        <f>E10*F10</f>
        <v/>
      </c>
      <c r="H10" s="6">
        <f>IF(E10&gt;=D10, "Đạt", "Thiếu " &amp; TEXT(D10-E10, "#,##0"))</f>
        <v/>
      </c>
    </row>
    <row r="11">
      <c r="A11" s="8" t="n">
        <v>4</v>
      </c>
      <c r="B11" s="9" t="inlineStr">
        <is>
          <t>Thay cửa nhựa lõi thép - cửa đi 90x210</t>
        </is>
      </c>
      <c r="C11" s="8" t="inlineStr">
        <is>
          <t>cái</t>
        </is>
      </c>
      <c r="D11" s="10">
        <f>BAO_GIA!D13</f>
        <v/>
      </c>
      <c r="E11" s="10" t="n">
        <v>4</v>
      </c>
      <c r="F11" s="10">
        <f>BAO_GIA!E13</f>
        <v/>
      </c>
      <c r="G11" s="10">
        <f>E11*F11</f>
        <v/>
      </c>
      <c r="H11" s="9">
        <f>IF(E11&gt;=D11, "Đạt", "Thiếu " &amp; TEXT(D11-E11, "#,##0"))</f>
        <v/>
      </c>
    </row>
    <row r="12">
      <c r="A12" s="5" t="n">
        <v>5</v>
      </c>
      <c r="B12" s="6" t="inlineStr">
        <is>
          <t>Thay kính cửa sổ cường lực 8mm</t>
        </is>
      </c>
      <c r="C12" s="5" t="inlineStr">
        <is>
          <t>m2</t>
        </is>
      </c>
      <c r="D12" s="7">
        <f>BAO_GIA!D14</f>
        <v/>
      </c>
      <c r="E12" s="7" t="n">
        <v>18</v>
      </c>
      <c r="F12" s="7">
        <f>BAO_GIA!E14</f>
        <v/>
      </c>
      <c r="G12" s="7">
        <f>E12*F12</f>
        <v/>
      </c>
      <c r="H12" s="6">
        <f>IF(E12&gt;=D12, "Đạt", "Thiếu " &amp; TEXT(D12-E12, "#,##0"))</f>
        <v/>
      </c>
    </row>
    <row r="13">
      <c r="A13" s="11" t="inlineStr">
        <is>
          <t>TỔNG CỘNG KHỐI LƯỢNG NGHIỆM THU</t>
        </is>
      </c>
      <c r="B13" s="11" t="n"/>
      <c r="C13" s="11" t="n"/>
      <c r="D13" s="11" t="n"/>
      <c r="E13" s="11" t="n"/>
      <c r="G13" s="12">
        <f>SUM(G8:G12)</f>
        <v/>
      </c>
      <c r="H13" s="11" t="n"/>
    </row>
  </sheetData>
  <mergeCells count="2">
    <mergeCell ref="A13:F13"/>
    <mergeCell ref="A3: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2" customWidth="1" min="3" max="3"/>
    <col width="15" customWidth="1" min="4" max="4"/>
    <col width="18" customWidth="1" min="5" max="5"/>
    <col width="12" customWidth="1" min="6" max="6"/>
    <col width="18" customWidth="1" min="7" max="7"/>
    <col width="18" customWidth="1" min="8" max="8"/>
  </cols>
  <sheetData>
    <row r="1">
      <c r="A1" s="1" t="inlineStr">
        <is>
          <t>BIÊN BẢN QUYẾT TOÁN HỢP ĐỒNG (A-B)</t>
        </is>
      </c>
    </row>
    <row r="2"/>
    <row r="3">
      <c r="A3" s="4" t="inlineStr">
        <is>
          <t>STT</t>
        </is>
      </c>
      <c r="B3" s="4" t="inlineStr">
        <is>
          <t>Hạng mục</t>
        </is>
      </c>
      <c r="C3" s="4" t="inlineStr">
        <is>
          <t>KL HĐ</t>
        </is>
      </c>
      <c r="D3" s="4" t="inlineStr">
        <is>
          <t>Đơn giá HĐ</t>
        </is>
      </c>
      <c r="E3" s="4" t="inlineStr">
        <is>
          <t>GT Hợp đồng</t>
        </is>
      </c>
      <c r="F3" s="4" t="inlineStr">
        <is>
          <t>KL Thực hiện</t>
        </is>
      </c>
      <c r="G3" s="4" t="inlineStr">
        <is>
          <t>GT Thực hiện</t>
        </is>
      </c>
      <c r="H3" s="4" t="inlineStr">
        <is>
          <t>Chênh lệch</t>
        </is>
      </c>
    </row>
    <row r="4">
      <c r="A4" s="5" t="n">
        <v>1</v>
      </c>
      <c r="B4" s="6" t="inlineStr">
        <is>
          <t>Sơn lại tường trong nhà (2 lớp lót + 2 lớp phủ)</t>
        </is>
      </c>
      <c r="C4" s="7">
        <f>BAO_GIA!D10</f>
        <v/>
      </c>
      <c r="D4" s="7">
        <f>BAO_GIA!E10</f>
        <v/>
      </c>
      <c r="E4" s="7">
        <f>C4*D4</f>
        <v/>
      </c>
      <c r="F4" s="7">
        <f>NGHIEM_THU!E8</f>
        <v/>
      </c>
      <c r="G4" s="7">
        <f>F4*D4</f>
        <v/>
      </c>
      <c r="H4" s="7">
        <f>G4-E4</f>
        <v/>
      </c>
    </row>
    <row r="5">
      <c r="A5" s="8" t="n">
        <v>2</v>
      </c>
      <c r="B5" s="9" t="inlineStr">
        <is>
          <t>Thay trần thạch cao vuông 60x60</t>
        </is>
      </c>
      <c r="C5" s="10">
        <f>BAO_GIA!D11</f>
        <v/>
      </c>
      <c r="D5" s="10">
        <f>BAO_GIA!E11</f>
        <v/>
      </c>
      <c r="E5" s="10">
        <f>C5*D5</f>
        <v/>
      </c>
      <c r="F5" s="10">
        <f>NGHIEM_THU!E9</f>
        <v/>
      </c>
      <c r="G5" s="10">
        <f>F5*D5</f>
        <v/>
      </c>
      <c r="H5" s="10">
        <f>G5-E5</f>
        <v/>
      </c>
    </row>
    <row r="6">
      <c r="A6" s="5" t="n">
        <v>3</v>
      </c>
      <c r="B6" s="6" t="inlineStr">
        <is>
          <t>Lát sàn gạch ceramic 60x60</t>
        </is>
      </c>
      <c r="C6" s="7">
        <f>BAO_GIA!D12</f>
        <v/>
      </c>
      <c r="D6" s="7">
        <f>BAO_GIA!E12</f>
        <v/>
      </c>
      <c r="E6" s="7">
        <f>C6*D6</f>
        <v/>
      </c>
      <c r="F6" s="7">
        <f>NGHIEM_THU!E10</f>
        <v/>
      </c>
      <c r="G6" s="7">
        <f>F6*D6</f>
        <v/>
      </c>
      <c r="H6" s="7">
        <f>G6-E6</f>
        <v/>
      </c>
    </row>
    <row r="7">
      <c r="A7" s="8" t="n">
        <v>4</v>
      </c>
      <c r="B7" s="9" t="inlineStr">
        <is>
          <t>Thay cửa nhựa lõi thép - cửa đi 90x210</t>
        </is>
      </c>
      <c r="C7" s="10">
        <f>BAO_GIA!D13</f>
        <v/>
      </c>
      <c r="D7" s="10">
        <f>BAO_GIA!E13</f>
        <v/>
      </c>
      <c r="E7" s="10">
        <f>C7*D7</f>
        <v/>
      </c>
      <c r="F7" s="10">
        <f>NGHIEM_THU!E11</f>
        <v/>
      </c>
      <c r="G7" s="10">
        <f>F7*D7</f>
        <v/>
      </c>
      <c r="H7" s="10">
        <f>G7-E7</f>
        <v/>
      </c>
    </row>
    <row r="8">
      <c r="A8" s="5" t="n">
        <v>5</v>
      </c>
      <c r="B8" s="6" t="inlineStr">
        <is>
          <t>Thay kính cửa sổ cường lực 8mm</t>
        </is>
      </c>
      <c r="C8" s="7">
        <f>BAO_GIA!D14</f>
        <v/>
      </c>
      <c r="D8" s="7">
        <f>BAO_GIA!E14</f>
        <v/>
      </c>
      <c r="E8" s="7">
        <f>C8*D8</f>
        <v/>
      </c>
      <c r="F8" s="7">
        <f>NGHIEM_THU!E12</f>
        <v/>
      </c>
      <c r="G8" s="7">
        <f>F8*D8</f>
        <v/>
      </c>
      <c r="H8" s="7">
        <f>G8-E8</f>
        <v/>
      </c>
    </row>
    <row r="9">
      <c r="A9" s="11" t="inlineStr">
        <is>
          <t>TỔNG CỘNG</t>
        </is>
      </c>
      <c r="B9" s="11" t="n"/>
      <c r="C9" s="11" t="n"/>
      <c r="D9" s="11" t="n"/>
      <c r="E9" s="12">
        <f>SUM(E4:E8)</f>
        <v/>
      </c>
      <c r="F9" s="11" t="n"/>
      <c r="G9" s="12">
        <f>SUM(G4:G8)</f>
        <v/>
      </c>
      <c r="H9" s="12">
        <f>G9-E9</f>
        <v/>
      </c>
    </row>
  </sheetData>
  <mergeCells count="2">
    <mergeCell ref="A9:D9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  <col width="20" customWidth="1" min="4" max="4"/>
  </cols>
  <sheetData>
    <row r="1">
      <c r="A1" s="13" t="inlineStr">
        <is>
          <t>ĐỀ NGHỊ THANH TOÁN</t>
        </is>
      </c>
    </row>
    <row r="3">
      <c r="A3" s="2" t="inlineStr">
        <is>
          <t>Kính gửi:</t>
        </is>
      </c>
      <c r="B3" s="3" t="inlineStr">
        <is>
          <t>Client A</t>
        </is>
      </c>
    </row>
    <row r="4">
      <c r="A4" s="2" t="inlineStr">
        <is>
          <t>Dự án:</t>
        </is>
      </c>
      <c r="B4" s="3" t="inlineStr">
        <is>
          <t>Test Project</t>
        </is>
      </c>
    </row>
    <row r="5">
      <c r="A5" s="2" t="inlineStr">
        <is>
          <t>Bên đề nghị:</t>
        </is>
      </c>
      <c r="B5" s="3" t="inlineStr"/>
    </row>
    <row r="6">
      <c r="A6" s="2" t="inlineStr">
        <is>
          <t>Hợp đồng số:</t>
        </is>
      </c>
      <c r="B6" s="3" t="inlineStr">
        <is>
          <t xml:space="preserve">HĐ-01 ký ngày </t>
        </is>
      </c>
    </row>
    <row r="9">
      <c r="A9" s="4" t="inlineStr">
        <is>
          <t>Nội dung thanh toán</t>
        </is>
      </c>
      <c r="D9" s="4" t="inlineStr">
        <is>
          <t>Giá trị (VNĐ)</t>
        </is>
      </c>
    </row>
    <row r="10">
      <c r="A10" s="9" t="inlineStr">
        <is>
          <t>1. Giá trị KL hoàn thành thực tế (trước thuế)</t>
        </is>
      </c>
      <c r="B10" s="9" t="n"/>
      <c r="C10" s="9" t="n"/>
      <c r="D10" s="14">
        <f>QUYET_TOAN_AB!G9</f>
        <v/>
      </c>
    </row>
    <row r="11">
      <c r="A11" s="6" t="inlineStr">
        <is>
          <t>2. Giá trị KL công việc phát sinh</t>
        </is>
      </c>
      <c r="B11" s="6" t="n"/>
      <c r="C11" s="6" t="n"/>
      <c r="D11" s="15" t="n">
        <v>0</v>
      </c>
    </row>
    <row r="12">
      <c r="A12" s="9" t="inlineStr">
        <is>
          <t>3. Giảm trừ tiền tạm ứng đã nhận</t>
        </is>
      </c>
      <c r="B12" s="9" t="n"/>
      <c r="C12" s="9" t="n"/>
      <c r="D12" s="14" t="n">
        <v>-0</v>
      </c>
    </row>
    <row r="13">
      <c r="A13" s="6" t="inlineStr">
        <is>
          <t>4. Cộng giá trị đề nghị thanh toán (trước VAT)</t>
        </is>
      </c>
      <c r="B13" s="6" t="n"/>
      <c r="C13" s="6" t="n"/>
      <c r="D13" s="15">
        <f>SUM(D10:D12)</f>
        <v/>
      </c>
    </row>
    <row r="14">
      <c r="A14" s="9" t="inlineStr">
        <is>
          <t>5. Thuế GTGT (10%)</t>
        </is>
      </c>
      <c r="B14" s="9" t="n"/>
      <c r="C14" s="9" t="n"/>
      <c r="D14" s="14">
        <f>D13*0.1</f>
        <v/>
      </c>
    </row>
    <row r="15">
      <c r="A15" s="16" t="inlineStr">
        <is>
          <t>6. TỔNG CỘNG TIỀN ĐỀ NGHỊ THANH TOÁN (SAU VAT)</t>
        </is>
      </c>
      <c r="B15" s="16" t="n"/>
      <c r="C15" s="16" t="n"/>
      <c r="D15" s="12">
        <f>D13+D14</f>
        <v/>
      </c>
    </row>
    <row r="17">
      <c r="A17" s="2" t="inlineStr">
        <is>
          <t>Hình thức thanh toán: Chuyển khoản</t>
        </is>
      </c>
    </row>
    <row r="18">
      <c r="A18" s="3" t="inlineStr">
        <is>
          <t>Tài khoản thụ hưởng: 0123 tại Bank</t>
        </is>
      </c>
    </row>
  </sheetData>
  <mergeCells count="7">
    <mergeCell ref="A10:C10"/>
    <mergeCell ref="A13:C13"/>
    <mergeCell ref="A11:C11"/>
    <mergeCell ref="A14:C14"/>
    <mergeCell ref="A9:C9"/>
    <mergeCell ref="A12:C12"/>
    <mergeCell ref="A15:C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12" customWidth="1" min="5" max="5"/>
    <col width="18" customWidth="1" min="6" max="6"/>
    <col width="10" customWidth="1" min="7" max="7"/>
    <col width="15" customWidth="1" min="8" max="8"/>
    <col width="18" customWidth="1" min="9" max="9"/>
  </cols>
  <sheetData>
    <row r="1">
      <c r="A1" s="1" t="inlineStr">
        <is>
          <t>BẢNG KÊ HÓA ĐƠN GIÁ TRỊ GIA TĂNG (GTGT)</t>
        </is>
      </c>
    </row>
    <row r="2"/>
    <row r="3"/>
    <row r="4">
      <c r="A4" s="4" t="inlineStr">
        <is>
          <t>STT</t>
        </is>
      </c>
      <c r="B4" s="4" t="inlineStr">
        <is>
          <t>Số hóa đơn</t>
        </is>
      </c>
      <c r="C4" s="4" t="inlineStr">
        <is>
          <t>Ngày hóa đơn</t>
        </is>
      </c>
      <c r="D4" s="4" t="inlineStr">
        <is>
          <t>Tên người bán/Nhà cung cấp</t>
        </is>
      </c>
      <c r="E4" s="4" t="inlineStr">
        <is>
          <t>Loại chi phí</t>
        </is>
      </c>
      <c r="F4" s="4" t="inlineStr">
        <is>
          <t>Trước thuế (VNĐ)</t>
        </is>
      </c>
      <c r="G4" s="4" t="inlineStr">
        <is>
          <t>Thuế suất</t>
        </is>
      </c>
      <c r="H4" s="4" t="inlineStr">
        <is>
          <t>Tiền thuế (VNĐ)</t>
        </is>
      </c>
      <c r="I4" s="4" t="inlineStr">
        <is>
          <t>Tổng thanh toán (VNĐ)</t>
        </is>
      </c>
    </row>
    <row r="5">
      <c r="A5" s="11" t="inlineStr">
        <is>
          <t>TỔNG CỘNG</t>
        </is>
      </c>
      <c r="B5" s="11" t="n"/>
      <c r="C5" s="11" t="n"/>
      <c r="D5" s="11" t="n"/>
      <c r="E5" s="11" t="n"/>
      <c r="F5" s="12">
        <f>SUM(F5:F4)</f>
        <v/>
      </c>
      <c r="G5" s="11" t="n"/>
      <c r="H5" s="12">
        <f>SUM(H5:H4)</f>
        <v/>
      </c>
      <c r="I5" s="12">
        <f>SUM(I5:I4)</f>
        <v/>
      </c>
    </row>
  </sheetData>
  <mergeCells count="2">
    <mergeCell ref="A1:I1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2026-06-23T09:47:10Z</dcterms:created>
  <dcterms:modified xsi:type="dcterms:W3CDTF">2026-06-23T09:47:10Z</dcterms:modified>
</cp:coreProperties>
</file>