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o_Gia_Chi_Ti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9C6500"/>
      <sz val="10"/>
    </font>
    <font>
      <name val="Arial"/>
      <b val="1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EBF3FB"/>
        <bgColor rgb="00EBF3FB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0" fontId="2" fillId="0" borderId="1" pivotButton="0" quotePrefix="0" xfId="0"/>
    <xf numFmtId="3" fontId="2" fillId="0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right" vertical="center"/>
    </xf>
    <xf numFmtId="3" fontId="7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45" customWidth="1" min="3" max="3"/>
    <col width="8" customWidth="1" min="4" max="4"/>
    <col width="12" customWidth="1" min="5" max="5"/>
    <col width="16" customWidth="1" min="6" max="6"/>
    <col width="18" customWidth="1" min="7" max="7"/>
    <col width="15" customWidth="1" min="8" max="8"/>
  </cols>
  <sheetData>
    <row r="1">
      <c r="A1" s="1" t="inlineStr">
        <is>
          <t>BẢNG BÁO GIÁ CHI TIẾT CÔNG TRÌNH</t>
        </is>
      </c>
    </row>
    <row r="2"/>
    <row r="3">
      <c r="A3" s="2" t="inlineStr">
        <is>
          <t>Dự án:</t>
        </is>
      </c>
      <c r="B3" s="3" t="inlineStr">
        <is>
          <t>Cải tạo văn phòng làm việc P.HC - Tầng 3 Tòa nhà DPM</t>
        </is>
      </c>
    </row>
    <row r="4">
      <c r="A4" s="2" t="inlineStr">
        <is>
          <t>Địa điểm:</t>
        </is>
      </c>
      <c r="B4" s="3" t="inlineStr">
        <is>
          <t>Tầng 3 Tòa nhà DPM, Cà Mau</t>
        </is>
      </c>
    </row>
    <row r="5">
      <c r="A5" s="2" t="inlineStr">
        <is>
          <t>Khách hàng (Bên A):</t>
        </is>
      </c>
      <c r="B5" s="3" t="inlineStr">
        <is>
          <t>Ban QLDA DPM</t>
        </is>
      </c>
    </row>
    <row r="6">
      <c r="A6" s="2" t="inlineStr">
        <is>
          <t>Đơn vị thi công (Bên B):</t>
        </is>
      </c>
      <c r="B6" s="3" t="inlineStr">
        <is>
          <t>Công ty Xây dựng Đông Dương</t>
        </is>
      </c>
    </row>
    <row r="7">
      <c r="A7" s="2" t="inlineStr">
        <is>
          <t>Thời gian thi công:</t>
        </is>
      </c>
      <c r="B7" s="3" t="inlineStr">
        <is>
          <t>01/03/2026 đến 30/04/2026</t>
        </is>
      </c>
    </row>
    <row r="8">
      <c r="A8" s="2" t="inlineStr">
        <is>
          <t>Phiên bản:</t>
        </is>
      </c>
      <c r="B8" s="3" t="inlineStr">
        <is>
          <t>v1 (Cập nhật lúc: 22:44:06 - 23/06/2026)</t>
        </is>
      </c>
    </row>
    <row r="9"/>
    <row r="10">
      <c r="A10" s="4" t="inlineStr">
        <is>
          <t>STT</t>
        </is>
      </c>
      <c r="B10" s="4" t="inlineStr">
        <is>
          <t>Mã hạng mục</t>
        </is>
      </c>
      <c r="C10" s="4" t="inlineStr">
        <is>
          <t>Hạng mục công việc</t>
        </is>
      </c>
      <c r="D10" s="4" t="inlineStr">
        <is>
          <t>ĐVT</t>
        </is>
      </c>
      <c r="E10" s="4" t="inlineStr">
        <is>
          <t>Số lượng</t>
        </is>
      </c>
      <c r="F10" s="4" t="inlineStr">
        <is>
          <t>Đơn giá (VNĐ)</t>
        </is>
      </c>
      <c r="G10" s="4" t="inlineStr">
        <is>
          <t>Thành tiền (VNĐ)</t>
        </is>
      </c>
      <c r="H10" s="4" t="inlineStr">
        <is>
          <t>Trạng thái</t>
        </is>
      </c>
    </row>
    <row r="11">
      <c r="A11" s="5" t="n">
        <v>1</v>
      </c>
      <c r="B11" s="5" t="inlineStr">
        <is>
          <t>HM-001</t>
        </is>
      </c>
      <c r="C11" s="6" t="inlineStr">
        <is>
          <t>Sơn lại tường trong nhà (2 lớp lót + 2 lớp phủ)</t>
        </is>
      </c>
      <c r="D11" s="5" t="inlineStr">
        <is>
          <t>m2</t>
        </is>
      </c>
      <c r="E11" s="7" t="n">
        <v>320</v>
      </c>
      <c r="F11" s="8" t="n">
        <v>65000</v>
      </c>
      <c r="G11" s="8">
        <f>E11*F11</f>
        <v/>
      </c>
      <c r="H11" s="9" t="inlineStr">
        <is>
          <t>Chờ duyệt</t>
        </is>
      </c>
    </row>
    <row r="12">
      <c r="A12" s="10" t="n">
        <v>2</v>
      </c>
      <c r="B12" s="10" t="inlineStr">
        <is>
          <t>HM-002</t>
        </is>
      </c>
      <c r="C12" s="11" t="inlineStr">
        <is>
          <t>Thay trần thạch cao vuông 60x60</t>
        </is>
      </c>
      <c r="D12" s="10" t="inlineStr">
        <is>
          <t>m2</t>
        </is>
      </c>
      <c r="E12" s="12" t="n">
        <v>150</v>
      </c>
      <c r="F12" s="13" t="n">
        <v>280000</v>
      </c>
      <c r="G12" s="13">
        <f>E12*F12</f>
        <v/>
      </c>
      <c r="H12" s="9" t="inlineStr">
        <is>
          <t>Chờ duyệt</t>
        </is>
      </c>
    </row>
    <row r="13">
      <c r="A13" s="5" t="n">
        <v>3</v>
      </c>
      <c r="B13" s="5" t="inlineStr">
        <is>
          <t>HM-003</t>
        </is>
      </c>
      <c r="C13" s="6" t="inlineStr">
        <is>
          <t>Lát sàn gạch ceramic 60x60</t>
        </is>
      </c>
      <c r="D13" s="5" t="inlineStr">
        <is>
          <t>m2</t>
        </is>
      </c>
      <c r="E13" s="7" t="n">
        <v>85</v>
      </c>
      <c r="F13" s="8" t="n">
        <v>320000</v>
      </c>
      <c r="G13" s="8">
        <f>E13*F13</f>
        <v/>
      </c>
      <c r="H13" s="9" t="inlineStr">
        <is>
          <t>Chờ duyệt</t>
        </is>
      </c>
    </row>
    <row r="14">
      <c r="A14" s="10" t="n">
        <v>4</v>
      </c>
      <c r="B14" s="10" t="inlineStr">
        <is>
          <t>HM-004</t>
        </is>
      </c>
      <c r="C14" s="11" t="inlineStr">
        <is>
          <t>Thay cửa nhựa lõi thép - cửa đi 90x210</t>
        </is>
      </c>
      <c r="D14" s="10" t="inlineStr">
        <is>
          <t>cái</t>
        </is>
      </c>
      <c r="E14" s="12" t="n">
        <v>4</v>
      </c>
      <c r="F14" s="13" t="n">
        <v>3800000</v>
      </c>
      <c r="G14" s="13">
        <f>E14*F14</f>
        <v/>
      </c>
      <c r="H14" s="9" t="inlineStr">
        <is>
          <t>Chờ duyệt</t>
        </is>
      </c>
    </row>
    <row r="15">
      <c r="A15" s="5" t="n">
        <v>5</v>
      </c>
      <c r="B15" s="5" t="inlineStr">
        <is>
          <t>HM-005</t>
        </is>
      </c>
      <c r="C15" s="6" t="inlineStr">
        <is>
          <t>Thay kính cửa sổ cường lực 8mm</t>
        </is>
      </c>
      <c r="D15" s="5" t="inlineStr">
        <is>
          <t>m2</t>
        </is>
      </c>
      <c r="E15" s="7" t="n">
        <v>18</v>
      </c>
      <c r="F15" s="8" t="n">
        <v>750000</v>
      </c>
      <c r="G15" s="8">
        <f>E15*F15</f>
        <v/>
      </c>
      <c r="H15" s="9" t="inlineStr">
        <is>
          <t>Chờ duyệt</t>
        </is>
      </c>
    </row>
    <row r="16">
      <c r="A16" s="14" t="inlineStr">
        <is>
          <t>Cộng tiền hàng (VND)</t>
        </is>
      </c>
      <c r="B16" s="15" t="n"/>
      <c r="C16" s="15" t="n"/>
      <c r="D16" s="15" t="n"/>
      <c r="E16" s="15" t="n"/>
      <c r="F16" s="15" t="n"/>
      <c r="G16" s="16">
        <f>SUM(G11:G15)</f>
        <v/>
      </c>
      <c r="H16" s="15" t="n"/>
    </row>
    <row r="17">
      <c r="A17" s="14" t="inlineStr">
        <is>
          <t>Thuế VAT (8%)</t>
        </is>
      </c>
      <c r="B17" s="15" t="n"/>
      <c r="C17" s="15" t="n"/>
      <c r="D17" s="15" t="n"/>
      <c r="E17" s="15" t="n"/>
      <c r="F17" s="15" t="n"/>
      <c r="G17" s="16">
        <f>G16*0.08</f>
        <v/>
      </c>
      <c r="H17" s="15" t="n"/>
    </row>
    <row r="18">
      <c r="A18" s="17" t="inlineStr">
        <is>
          <t>TỔNG GIÁ TRỊ HỢP ĐỒNG (VND)</t>
        </is>
      </c>
      <c r="G18" s="18">
        <f>G16+G17</f>
        <v/>
      </c>
      <c r="H18" s="17" t="n"/>
    </row>
  </sheetData>
  <mergeCells count="3">
    <mergeCell ref="A16:F16"/>
    <mergeCell ref="A17:F17"/>
    <mergeCell ref="A18:F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2026-06-23T15:44:06Z</dcterms:created>
  <dcterms:modified xsi:type="dcterms:W3CDTF">2026-06-23T15:44:06Z</dcterms:modified>
</cp:coreProperties>
</file>