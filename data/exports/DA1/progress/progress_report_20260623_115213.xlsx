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i_Tiet_Hang_M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1F4E79"/>
      <sz val="14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3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48" customWidth="1" min="2" max="2"/>
    <col width="26" customWidth="1" min="3" max="3"/>
    <col width="26" customWidth="1" min="4" max="4"/>
    <col width="17" customWidth="1" min="5" max="5"/>
    <col width="20" customWidth="1" min="6" max="6"/>
  </cols>
  <sheetData>
    <row r="1">
      <c r="A1" s="1" t="inlineStr">
        <is>
          <t>DASHBOARD TIẾN ĐỘ THI CÔNG</t>
        </is>
      </c>
    </row>
    <row r="2"/>
    <row r="3">
      <c r="A3" s="2" t="inlineStr">
        <is>
          <t>Dự án:</t>
        </is>
      </c>
      <c r="B3" s="3" t="inlineStr">
        <is>
          <t>Sửa chữa văn phòng P.HC – Tầng 3, Tòa nhà DPM</t>
        </is>
      </c>
      <c r="D3" s="2" t="inlineStr">
        <is>
          <t>Tổng PV (Kế hoạch):</t>
        </is>
      </c>
      <c r="E3" s="4" t="n">
        <v>117600000</v>
      </c>
    </row>
    <row r="4">
      <c r="A4" s="2" t="inlineStr">
        <is>
          <t>Thời điểm:</t>
        </is>
      </c>
      <c r="B4" s="3" t="inlineStr">
        <is>
          <t>2026-06-23</t>
        </is>
      </c>
      <c r="D4" s="2" t="inlineStr">
        <is>
          <t>Tổng EV (Thực tế đạt):</t>
        </is>
      </c>
      <c r="E4" s="4" t="n">
        <v>117600000</v>
      </c>
    </row>
    <row r="5">
      <c r="A5" s="2" t="inlineStr">
        <is>
          <t>% Hoàn thành dự án:</t>
        </is>
      </c>
      <c r="B5" s="3" t="inlineStr">
        <is>
          <t>50.6%</t>
        </is>
      </c>
      <c r="D5" s="2" t="inlineStr">
        <is>
          <t>Chỉ số Tiến độ (EV/PV):</t>
        </is>
      </c>
      <c r="E5" s="3" t="inlineStr">
        <is>
          <t>0.95</t>
        </is>
      </c>
    </row>
    <row r="6"/>
    <row r="7"/>
    <row r="8">
      <c r="A8" s="5" t="inlineStr">
        <is>
          <t>TRẠNG THÁI CÁC MỐC TIẾN ĐỘ</t>
        </is>
      </c>
    </row>
    <row r="9">
      <c r="A9" s="6" t="inlineStr">
        <is>
          <t>Tên mốc tiến độ</t>
        </is>
      </c>
      <c r="B9" s="6" t="inlineStr">
        <is>
          <t>Hạn hoàn thành</t>
        </is>
      </c>
      <c r="C9" s="6" t="inlineStr">
        <is>
          <t>% Xong</t>
        </is>
      </c>
      <c r="D9" s="6" t="inlineStr">
        <is>
          <t>Cảnh báo</t>
        </is>
      </c>
      <c r="E9" s="6" t="inlineStr">
        <is>
          <t>Trễ max (ngày)</t>
        </is>
      </c>
      <c r="F9" s="6" t="inlineStr">
        <is>
          <t>Số HM</t>
        </is>
      </c>
    </row>
    <row r="10">
      <c r="A10" s="7" t="inlineStr">
        <is>
          <t>Mốc 1 - Phần hoàn thiện</t>
        </is>
      </c>
      <c r="B10" s="8" t="inlineStr">
        <is>
          <t>2026-06-20</t>
        </is>
      </c>
      <c r="C10" s="9" t="n">
        <v>0.9285714285714286</v>
      </c>
      <c r="D10" s="10" t="inlineStr">
        <is>
          <t>Đỏ</t>
        </is>
      </c>
      <c r="E10" s="11" t="n">
        <v>12</v>
      </c>
      <c r="F10" s="11" t="n">
        <v>6</v>
      </c>
    </row>
    <row r="11">
      <c r="A11" s="7" t="inlineStr">
        <is>
          <t>Mốc 2 - Điện &amp; cơ điện</t>
        </is>
      </c>
      <c r="B11" s="8" t="inlineStr">
        <is>
          <t>2026-06-25</t>
        </is>
      </c>
      <c r="C11" s="9" t="n">
        <v>0.9259259259259259</v>
      </c>
      <c r="D11" s="12" t="inlineStr">
        <is>
          <t>Vàng</t>
        </is>
      </c>
      <c r="E11" s="11" t="n">
        <v>2</v>
      </c>
      <c r="F11" s="11" t="n">
        <v>2</v>
      </c>
    </row>
    <row r="12">
      <c r="A12" s="7" t="inlineStr">
        <is>
          <t>Mốc 3 - Dọn dẹp &amp; bàn giao</t>
        </is>
      </c>
      <c r="B12" s="8" t="inlineStr">
        <is>
          <t>2026-06-30</t>
        </is>
      </c>
      <c r="C12" s="9" t="n">
        <v>0</v>
      </c>
      <c r="D12" s="13" t="inlineStr">
        <is>
          <t>Xanh</t>
        </is>
      </c>
      <c r="E12" s="11" t="n">
        <v>0</v>
      </c>
      <c r="F12" s="11" t="n">
        <v>2</v>
      </c>
    </row>
    <row r="13"/>
    <row r="14"/>
    <row r="15">
      <c r="A15" s="5" t="inlineStr">
        <is>
          <t>DANH SÁCH CÁC HẠNG MỤC BỊ CHẬM TIẾN ĐỘ</t>
        </is>
      </c>
    </row>
    <row r="16">
      <c r="A16" s="6" t="inlineStr">
        <is>
          <t>Mã hạng mục</t>
        </is>
      </c>
      <c r="B16" s="6" t="inlineStr">
        <is>
          <t>Tên hạng mục</t>
        </is>
      </c>
      <c r="C16" s="6" t="inlineStr">
        <is>
          <t>Mốc tiến độ</t>
        </is>
      </c>
      <c r="D16" s="6" t="inlineStr">
        <is>
          <t>Số ngày trễ</t>
        </is>
      </c>
      <c r="E16" s="6" t="inlineStr">
        <is>
          <t>Cảnh báo</t>
        </is>
      </c>
      <c r="F16" s="6" t="inlineStr">
        <is>
          <t>Lý do chậm trễ</t>
        </is>
      </c>
    </row>
    <row r="17">
      <c r="A17" s="8" t="inlineStr">
        <is>
          <t>HM-001</t>
        </is>
      </c>
      <c r="B17" s="7" t="inlineStr">
        <is>
          <t>Sơn tường</t>
        </is>
      </c>
      <c r="C17" s="7" t="inlineStr">
        <is>
          <t>Mốc 1 - Phần hoàn thiện</t>
        </is>
      </c>
      <c r="D17" s="11" t="n">
        <v>12</v>
      </c>
      <c r="E17" s="10" t="inlineStr">
        <is>
          <t>Đỏ</t>
        </is>
      </c>
      <c r="F17" s="7" t="inlineStr">
        <is>
          <t>chờ vật tư</t>
        </is>
      </c>
    </row>
    <row r="18">
      <c r="A18" s="8" t="inlineStr">
        <is>
          <t>HM-007</t>
        </is>
      </c>
      <c r="B18" s="7" t="inlineStr">
        <is>
          <t>Kính cường lực</t>
        </is>
      </c>
      <c r="C18" s="7" t="inlineStr">
        <is>
          <t>Mốc 1 - Phần hoàn thiện</t>
        </is>
      </c>
      <c r="D18" s="11" t="n">
        <v>8</v>
      </c>
      <c r="E18" s="10" t="inlineStr">
        <is>
          <t>Đỏ</t>
        </is>
      </c>
      <c r="F18" s="7" t="inlineStr">
        <is>
          <t>thay đổi thiết kế</t>
        </is>
      </c>
    </row>
    <row r="19">
      <c r="A19" s="8" t="inlineStr">
        <is>
          <t>HM-005</t>
        </is>
      </c>
      <c r="B19" s="7" t="inlineStr">
        <is>
          <t>Đèn LED</t>
        </is>
      </c>
      <c r="C19" s="7" t="inlineStr">
        <is>
          <t>Mốc 2 - Điện &amp; cơ điện</t>
        </is>
      </c>
      <c r="D19" s="11" t="n">
        <v>2</v>
      </c>
      <c r="E19" s="12" t="inlineStr">
        <is>
          <t>Vàng</t>
        </is>
      </c>
      <c r="F19" s="7" t="inlineStr">
        <is>
          <t>chờ vật tư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20" customWidth="1" min="5" max="5"/>
    <col width="12" customWidth="1" min="6" max="6"/>
    <col width="12" customWidth="1" min="7" max="7"/>
    <col width="15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5" customWidth="1" min="15" max="15"/>
    <col width="25" customWidth="1" min="16" max="16"/>
    <col width="25" customWidth="1" min="17" max="17"/>
  </cols>
  <sheetData>
    <row r="1">
      <c r="A1" s="14" t="inlineStr">
        <is>
          <t>CHI TIẾT TIẾN ĐỘ THI CÔNG HẠNG MỤC</t>
        </is>
      </c>
    </row>
    <row r="2"/>
    <row r="3">
      <c r="A3" s="6" t="inlineStr">
        <is>
          <t>STT</t>
        </is>
      </c>
      <c r="B3" s="6" t="inlineStr">
        <is>
          <t>Mã HM</t>
        </is>
      </c>
      <c r="C3" s="6" t="inlineStr">
        <is>
          <t>Hạng mục công việc</t>
        </is>
      </c>
      <c r="D3" s="6" t="inlineStr">
        <is>
          <t>ĐVT</t>
        </is>
      </c>
      <c r="E3" s="6" t="inlineStr">
        <is>
          <t>Mốc tiến độ</t>
        </is>
      </c>
      <c r="F3" s="6" t="inlineStr">
        <is>
          <t>SL Kế hoạch</t>
        </is>
      </c>
      <c r="G3" s="6" t="inlineStr">
        <is>
          <t>SL Thực tế</t>
        </is>
      </c>
      <c r="H3" s="6" t="inlineStr">
        <is>
          <t>Chênh lệch SL</t>
        </is>
      </c>
      <c r="I3" s="6" t="inlineStr">
        <is>
          <t>% Đạt</t>
        </is>
      </c>
      <c r="J3" s="6" t="inlineStr">
        <is>
          <t>Kế hoạch Bắt đầu</t>
        </is>
      </c>
      <c r="K3" s="6" t="inlineStr">
        <is>
          <t>Kế hoạch Kết thúc</t>
        </is>
      </c>
      <c r="L3" s="6" t="inlineStr">
        <is>
          <t>Thực tế Bắt đầu</t>
        </is>
      </c>
      <c r="M3" s="6" t="inlineStr">
        <is>
          <t>Thực tế Kết thúc</t>
        </is>
      </c>
      <c r="N3" s="6" t="inlineStr">
        <is>
          <t>Số ngày trễ</t>
        </is>
      </c>
      <c r="O3" s="6" t="inlineStr">
        <is>
          <t>Cờ cảnh báo</t>
        </is>
      </c>
      <c r="P3" s="6" t="inlineStr">
        <is>
          <t>Ghi chú hiện trường</t>
        </is>
      </c>
      <c r="Q3" s="6" t="inlineStr">
        <is>
          <t>Nguyên nhân trễ</t>
        </is>
      </c>
    </row>
    <row r="4">
      <c r="A4" s="8" t="n">
        <v>1</v>
      </c>
      <c r="B4" s="8" t="inlineStr">
        <is>
          <t>HM-001</t>
        </is>
      </c>
      <c r="C4" s="7" t="inlineStr">
        <is>
          <t>Sơn tường</t>
        </is>
      </c>
      <c r="D4" s="8" t="inlineStr">
        <is>
          <t>m2</t>
        </is>
      </c>
      <c r="E4" s="7" t="inlineStr">
        <is>
          <t>Mốc 1 - Phần hoàn thiện</t>
        </is>
      </c>
      <c r="F4" s="15" t="n">
        <v>320</v>
      </c>
      <c r="G4" s="15" t="n">
        <v>280</v>
      </c>
      <c r="H4" s="15">
        <f>G4-F4</f>
        <v/>
      </c>
      <c r="I4" s="9">
        <f>IF(F4&gt;0, G4/F4, 0)</f>
        <v/>
      </c>
      <c r="J4" s="8" t="inlineStr">
        <is>
          <t>2026-06-05</t>
        </is>
      </c>
      <c r="K4" s="8" t="inlineStr">
        <is>
          <t>2026-06-11</t>
        </is>
      </c>
      <c r="L4" s="8" t="inlineStr">
        <is>
          <t>2026-06-06</t>
        </is>
      </c>
      <c r="M4" s="8" t="n"/>
      <c r="N4" s="15" t="n">
        <v>12</v>
      </c>
      <c r="O4" s="8" t="inlineStr">
        <is>
          <t>Đỏ</t>
        </is>
      </c>
      <c r="P4" s="7" t="inlineStr">
        <is>
          <t>Chậm tiến độ do thiếu thợ sơn</t>
        </is>
      </c>
      <c r="Q4" s="7" t="inlineStr">
        <is>
          <t>chờ vật tư</t>
        </is>
      </c>
    </row>
    <row r="5">
      <c r="A5" s="16" t="n">
        <v>2</v>
      </c>
      <c r="B5" s="16" t="inlineStr">
        <is>
          <t>HM-002</t>
        </is>
      </c>
      <c r="C5" s="17" t="inlineStr">
        <is>
          <t>Trần thạch cao 60x60</t>
        </is>
      </c>
      <c r="D5" s="16" t="inlineStr">
        <is>
          <t>m2</t>
        </is>
      </c>
      <c r="E5" s="17" t="inlineStr">
        <is>
          <t>Mốc 1 - Phần hoàn thiện</t>
        </is>
      </c>
      <c r="F5" s="18" t="n">
        <v>150</v>
      </c>
      <c r="G5" s="18" t="n">
        <v>150</v>
      </c>
      <c r="H5" s="18">
        <f>G5-F5</f>
        <v/>
      </c>
      <c r="I5" s="19">
        <f>IF(F5&gt;0, G5/F5, 0)</f>
        <v/>
      </c>
      <c r="J5" s="16" t="inlineStr">
        <is>
          <t>2026-06-08</t>
        </is>
      </c>
      <c r="K5" s="16" t="inlineStr">
        <is>
          <t>2026-06-18</t>
        </is>
      </c>
      <c r="L5" s="16" t="inlineStr">
        <is>
          <t>2026-06-08</t>
        </is>
      </c>
      <c r="M5" s="16" t="inlineStr">
        <is>
          <t>2026-06-18</t>
        </is>
      </c>
      <c r="N5" s="18" t="n">
        <v>0</v>
      </c>
      <c r="O5" s="16" t="inlineStr">
        <is>
          <t>Xanh</t>
        </is>
      </c>
      <c r="P5" s="17" t="inlineStr">
        <is>
          <t>Hoàn thành lắp đặt nghiệm thu đạt</t>
        </is>
      </c>
      <c r="Q5" s="17" t="inlineStr"/>
    </row>
    <row r="6">
      <c r="A6" s="8" t="n">
        <v>3</v>
      </c>
      <c r="B6" s="8" t="inlineStr">
        <is>
          <t>HM-003</t>
        </is>
      </c>
      <c r="C6" s="7" t="inlineStr">
        <is>
          <t>Lát sàn ceramic 60x60</t>
        </is>
      </c>
      <c r="D6" s="8" t="inlineStr">
        <is>
          <t>m2</t>
        </is>
      </c>
      <c r="E6" s="7" t="inlineStr">
        <is>
          <t>Mốc 1 - Phần hoàn thiện</t>
        </is>
      </c>
      <c r="F6" s="15" t="n">
        <v>85</v>
      </c>
      <c r="G6" s="15" t="n">
        <v>85</v>
      </c>
      <c r="H6" s="15">
        <f>G6-F6</f>
        <v/>
      </c>
      <c r="I6" s="9">
        <f>IF(F6&gt;0, G6/F6, 0)</f>
        <v/>
      </c>
      <c r="J6" s="8" t="inlineStr">
        <is>
          <t>2026-06-10</t>
        </is>
      </c>
      <c r="K6" s="8" t="inlineStr">
        <is>
          <t>2026-06-20</t>
        </is>
      </c>
      <c r="L6" s="8" t="inlineStr">
        <is>
          <t>2026-06-10</t>
        </is>
      </c>
      <c r="M6" s="8" t="inlineStr">
        <is>
          <t>2026-06-20</t>
        </is>
      </c>
      <c r="N6" s="15" t="n">
        <v>0</v>
      </c>
      <c r="O6" s="8" t="inlineStr">
        <is>
          <t>Xanh</t>
        </is>
      </c>
      <c r="P6" s="7" t="inlineStr">
        <is>
          <t>Đã lát xong gạch nền văn phòng</t>
        </is>
      </c>
      <c r="Q6" s="7" t="inlineStr"/>
    </row>
    <row r="7">
      <c r="A7" s="16" t="n">
        <v>4</v>
      </c>
      <c r="B7" s="16" t="inlineStr">
        <is>
          <t>HM-004</t>
        </is>
      </c>
      <c r="C7" s="17" t="inlineStr">
        <is>
          <t>Cửa nhựa lõi thép</t>
        </is>
      </c>
      <c r="D7" s="16" t="inlineStr">
        <is>
          <t>cái</t>
        </is>
      </c>
      <c r="E7" s="17" t="inlineStr">
        <is>
          <t>Mốc 1 - Phần hoàn thiện</t>
        </is>
      </c>
      <c r="F7" s="18" t="n">
        <v>4</v>
      </c>
      <c r="G7" s="18" t="n">
        <v>4</v>
      </c>
      <c r="H7" s="18">
        <f>G7-F7</f>
        <v/>
      </c>
      <c r="I7" s="19">
        <f>IF(F7&gt;0, G7/F7, 0)</f>
        <v/>
      </c>
      <c r="J7" s="16" t="inlineStr">
        <is>
          <t>2026-06-12</t>
        </is>
      </c>
      <c r="K7" s="16" t="inlineStr">
        <is>
          <t>2026-06-19</t>
        </is>
      </c>
      <c r="L7" s="16" t="inlineStr">
        <is>
          <t>2026-06-12</t>
        </is>
      </c>
      <c r="M7" s="16" t="inlineStr">
        <is>
          <t>2026-06-19</t>
        </is>
      </c>
      <c r="N7" s="18" t="n">
        <v>0</v>
      </c>
      <c r="O7" s="16" t="inlineStr">
        <is>
          <t>Xanh</t>
        </is>
      </c>
      <c r="P7" s="17" t="inlineStr">
        <is>
          <t>Lắp đặt kính khung nhôm xong</t>
        </is>
      </c>
      <c r="Q7" s="17" t="inlineStr"/>
    </row>
    <row r="8">
      <c r="A8" s="8" t="n">
        <v>5</v>
      </c>
      <c r="B8" s="8" t="inlineStr">
        <is>
          <t>HM-005</t>
        </is>
      </c>
      <c r="C8" s="7" t="inlineStr">
        <is>
          <t>Đèn LED</t>
        </is>
      </c>
      <c r="D8" s="8" t="inlineStr">
        <is>
          <t>bộ</t>
        </is>
      </c>
      <c r="E8" s="7" t="inlineStr">
        <is>
          <t>Mốc 2 - Điện &amp; cơ điện</t>
        </is>
      </c>
      <c r="F8" s="15" t="n">
        <v>24</v>
      </c>
      <c r="G8" s="15" t="n">
        <v>20</v>
      </c>
      <c r="H8" s="15">
        <f>G8-F8</f>
        <v/>
      </c>
      <c r="I8" s="9">
        <f>IF(F8&gt;0, G8/F8, 0)</f>
        <v/>
      </c>
      <c r="J8" s="8" t="inlineStr">
        <is>
          <t>2026-06-15</t>
        </is>
      </c>
      <c r="K8" s="8" t="inlineStr">
        <is>
          <t>2026-06-21</t>
        </is>
      </c>
      <c r="L8" s="8" t="inlineStr">
        <is>
          <t>2026-06-15</t>
        </is>
      </c>
      <c r="M8" s="8" t="n"/>
      <c r="N8" s="15" t="n">
        <v>2</v>
      </c>
      <c r="O8" s="8" t="inlineStr">
        <is>
          <t>Vàng</t>
        </is>
      </c>
      <c r="P8" s="7" t="inlineStr">
        <is>
          <t>Thiếu chao đèn trang trí</t>
        </is>
      </c>
      <c r="Q8" s="7" t="inlineStr">
        <is>
          <t>chờ vật tư</t>
        </is>
      </c>
    </row>
    <row r="9">
      <c r="A9" s="16" t="n">
        <v>6</v>
      </c>
      <c r="B9" s="16" t="inlineStr">
        <is>
          <t>HM-006</t>
        </is>
      </c>
      <c r="C9" s="17" t="inlineStr">
        <is>
          <t>Ổ cắm điện âm tường</t>
        </is>
      </c>
      <c r="D9" s="16" t="inlineStr">
        <is>
          <t>cái</t>
        </is>
      </c>
      <c r="E9" s="17" t="inlineStr">
        <is>
          <t>Mốc 2 - Điện &amp; cơ điện</t>
        </is>
      </c>
      <c r="F9" s="18" t="n">
        <v>30</v>
      </c>
      <c r="G9" s="18" t="n">
        <v>30</v>
      </c>
      <c r="H9" s="18">
        <f>G9-F9</f>
        <v/>
      </c>
      <c r="I9" s="19">
        <f>IF(F9&gt;0, G9/F9, 0)</f>
        <v/>
      </c>
      <c r="J9" s="16" t="inlineStr">
        <is>
          <t>2026-06-16</t>
        </is>
      </c>
      <c r="K9" s="16" t="inlineStr">
        <is>
          <t>2026-06-23</t>
        </is>
      </c>
      <c r="L9" s="16" t="inlineStr">
        <is>
          <t>2026-06-16</t>
        </is>
      </c>
      <c r="M9" s="16" t="inlineStr">
        <is>
          <t>2026-06-23</t>
        </is>
      </c>
      <c r="N9" s="18" t="n">
        <v>0</v>
      </c>
      <c r="O9" s="16" t="inlineStr">
        <is>
          <t>Xanh</t>
        </is>
      </c>
      <c r="P9" s="17" t="inlineStr">
        <is>
          <t>Đấu nối ổ cắm xong</t>
        </is>
      </c>
      <c r="Q9" s="17" t="inlineStr"/>
    </row>
    <row r="10">
      <c r="A10" s="8" t="n">
        <v>7</v>
      </c>
      <c r="B10" s="8" t="inlineStr">
        <is>
          <t>HM-007</t>
        </is>
      </c>
      <c r="C10" s="7" t="inlineStr">
        <is>
          <t>Kính cường lực</t>
        </is>
      </c>
      <c r="D10" s="8" t="inlineStr">
        <is>
          <t>m2</t>
        </is>
      </c>
      <c r="E10" s="7" t="inlineStr">
        <is>
          <t>Mốc 1 - Phần hoàn thiện</t>
        </is>
      </c>
      <c r="F10" s="15" t="n">
        <v>18</v>
      </c>
      <c r="G10" s="15" t="n">
        <v>10</v>
      </c>
      <c r="H10" s="15">
        <f>G10-F10</f>
        <v/>
      </c>
      <c r="I10" s="9">
        <f>IF(F10&gt;0, G10/F10, 0)</f>
        <v/>
      </c>
      <c r="J10" s="8" t="inlineStr">
        <is>
          <t>2026-06-09</t>
        </is>
      </c>
      <c r="K10" s="8" t="inlineStr">
        <is>
          <t>2026-06-15</t>
        </is>
      </c>
      <c r="L10" s="8" t="inlineStr">
        <is>
          <t>2026-06-09</t>
        </is>
      </c>
      <c r="M10" s="8" t="n"/>
      <c r="N10" s="15" t="n">
        <v>8</v>
      </c>
      <c r="O10" s="8" t="inlineStr">
        <is>
          <t>Đỏ</t>
        </is>
      </c>
      <c r="P10" s="7" t="inlineStr">
        <is>
          <t>Đang đo vẽ lại kích thước kính vách</t>
        </is>
      </c>
      <c r="Q10" s="7" t="inlineStr">
        <is>
          <t>thay đổi thiết kế</t>
        </is>
      </c>
    </row>
    <row r="11">
      <c r="A11" s="16" t="n">
        <v>8</v>
      </c>
      <c r="B11" s="16" t="inlineStr">
        <is>
          <t>HM-008</t>
        </is>
      </c>
      <c r="C11" s="17" t="inlineStr">
        <is>
          <t>Sơn chống thấm Sika</t>
        </is>
      </c>
      <c r="D11" s="16" t="inlineStr">
        <is>
          <t>m2</t>
        </is>
      </c>
      <c r="E11" s="17" t="inlineStr">
        <is>
          <t>Mốc 1 - Phần hoàn thiện</t>
        </is>
      </c>
      <c r="F11" s="18" t="n">
        <v>95</v>
      </c>
      <c r="G11" s="18" t="n">
        <v>95</v>
      </c>
      <c r="H11" s="18">
        <f>G11-F11</f>
        <v/>
      </c>
      <c r="I11" s="19">
        <f>IF(F11&gt;0, G11/F11, 0)</f>
        <v/>
      </c>
      <c r="J11" s="16" t="inlineStr">
        <is>
          <t>2026-06-10</t>
        </is>
      </c>
      <c r="K11" s="16" t="inlineStr">
        <is>
          <t>2026-06-20</t>
        </is>
      </c>
      <c r="L11" s="16" t="inlineStr">
        <is>
          <t>2026-06-10</t>
        </is>
      </c>
      <c r="M11" s="16" t="inlineStr">
        <is>
          <t>2026-06-20</t>
        </is>
      </c>
      <c r="N11" s="18" t="n">
        <v>0</v>
      </c>
      <c r="O11" s="16" t="inlineStr">
        <is>
          <t>Xanh</t>
        </is>
      </c>
      <c r="P11" s="17" t="inlineStr">
        <is>
          <t>Chống thấm khu vệ sinh xong</t>
        </is>
      </c>
      <c r="Q11" s="17" t="inlineStr"/>
    </row>
    <row r="12">
      <c r="A12" s="8" t="n">
        <v>9</v>
      </c>
      <c r="B12" s="8" t="inlineStr">
        <is>
          <t>HM-009</t>
        </is>
      </c>
      <c r="C12" s="7" t="inlineStr">
        <is>
          <t>Vệ sinh sau thi công</t>
        </is>
      </c>
      <c r="D12" s="8" t="inlineStr">
        <is>
          <t>m2</t>
        </is>
      </c>
      <c r="E12" s="7" t="inlineStr">
        <is>
          <t>Mốc 3 - Dọn dẹp &amp; bàn giao</t>
        </is>
      </c>
      <c r="F12" s="15" t="n">
        <v>605</v>
      </c>
      <c r="G12" s="15" t="n">
        <v>0</v>
      </c>
      <c r="H12" s="15">
        <f>G12-F12</f>
        <v/>
      </c>
      <c r="I12" s="9">
        <f>IF(F12&gt;0, G12/F12, 0)</f>
        <v/>
      </c>
      <c r="J12" s="8" t="inlineStr">
        <is>
          <t>2026-06-24</t>
        </is>
      </c>
      <c r="K12" s="8" t="inlineStr">
        <is>
          <t>2026-06-29</t>
        </is>
      </c>
      <c r="L12" s="8" t="n"/>
      <c r="M12" s="8" t="n"/>
      <c r="N12" s="15" t="n">
        <v>0</v>
      </c>
      <c r="O12" s="8" t="inlineStr">
        <is>
          <t>Xanh</t>
        </is>
      </c>
      <c r="P12" s="7" t="inlineStr"/>
      <c r="Q12" s="7" t="inlineStr"/>
    </row>
    <row r="13">
      <c r="A13" s="16" t="n">
        <v>10</v>
      </c>
      <c r="B13" s="16" t="inlineStr">
        <is>
          <t>HM-010</t>
        </is>
      </c>
      <c r="C13" s="17" t="inlineStr">
        <is>
          <t>Vận chuyển vật liệu</t>
        </is>
      </c>
      <c r="D13" s="16" t="inlineStr">
        <is>
          <t>ls</t>
        </is>
      </c>
      <c r="E13" s="17" t="inlineStr">
        <is>
          <t>Mốc 3 - Dọn dẹp &amp; bàn giao</t>
        </is>
      </c>
      <c r="F13" s="18" t="n">
        <v>1</v>
      </c>
      <c r="G13" s="18" t="n">
        <v>0</v>
      </c>
      <c r="H13" s="18">
        <f>G13-F13</f>
        <v/>
      </c>
      <c r="I13" s="19">
        <f>IF(F13&gt;0, G13/F13, 0)</f>
        <v/>
      </c>
      <c r="J13" s="16" t="inlineStr">
        <is>
          <t>2026-06-25</t>
        </is>
      </c>
      <c r="K13" s="16" t="inlineStr">
        <is>
          <t>2026-06-30</t>
        </is>
      </c>
      <c r="L13" s="16" t="n"/>
      <c r="M13" s="16" t="n"/>
      <c r="N13" s="18" t="n">
        <v>0</v>
      </c>
      <c r="O13" s="16" t="inlineStr">
        <is>
          <t>Xanh</t>
        </is>
      </c>
      <c r="P13" s="17" t="inlineStr"/>
      <c r="Q13" s="17" t="inlineStr"/>
    </row>
    <row r="14">
      <c r="A14" s="20" t="inlineStr">
        <is>
          <t>TỔNG CỘNG</t>
        </is>
      </c>
      <c r="B14" s="20" t="n"/>
      <c r="C14" s="20" t="n"/>
      <c r="D14" s="20" t="n"/>
      <c r="E14" s="20" t="n"/>
      <c r="F14" s="21">
        <f>SUM(F4:F13)</f>
        <v/>
      </c>
      <c r="G14" s="21">
        <f>SUM(G4:G13)</f>
        <v/>
      </c>
      <c r="H14" s="21">
        <f>G14-F14</f>
        <v/>
      </c>
      <c r="I14" s="22">
        <f>IF(F14&gt;0, G14/F14, 0)</f>
        <v/>
      </c>
      <c r="J14" s="20" t="n"/>
      <c r="K14" s="20" t="n"/>
      <c r="L14" s="20" t="n"/>
      <c r="M14" s="20" t="n"/>
      <c r="N14" s="20" t="n"/>
      <c r="O14" s="20" t="n"/>
      <c r="P14" s="20" t="n"/>
      <c r="Q14" s="20" t="n"/>
    </row>
  </sheetData>
  <mergeCells count="1">
    <mergeCell ref="A14:E14"/>
  </mergeCells>
  <conditionalFormatting sqref="O4:O13">
    <cfRule type="cellIs" priority="1" operator="equal" dxfId="0" stopIfTrue="1">
      <formula>"Đỏ"</formula>
    </cfRule>
    <cfRule type="cellIs" priority="2" operator="equal" dxfId="1" stopIfTrue="1">
      <formula>"Vàng"</formula>
    </cfRule>
    <cfRule type="cellIs" priority="3" operator="equal" dxfId="2" stopIfTrue="1">
      <formula>"Xanh"</formula>
    </cfRule>
  </conditionalFormatting>
  <conditionalFormatting sqref="H4:H13">
    <cfRule type="cellIs" priority="4" operator="lessThan" dxfId="0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2026-06-23T04:52:13Z</dcterms:created>
  <dcterms:modified xsi:type="dcterms:W3CDTF">2026-06-23T04:52:13Z</dcterms:modified>
</cp:coreProperties>
</file>